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"/>
    </mc:Choice>
  </mc:AlternateContent>
  <xr:revisionPtr revIDLastSave="0" documentId="13_ncr:1_{BDCA209C-E71D-4988-B7BB-32F5B82593D3}" xr6:coauthVersionLast="38" xr6:coauthVersionMax="40" xr10:uidLastSave="{00000000-0000-0000-0000-000000000000}"/>
  <bookViews>
    <workbookView xWindow="120" yWindow="108" windowWidth="24912" windowHeight="11568" activeTab="1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calcPr calcId="191029" calcMode="manual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5" l="1"/>
  <c r="D4" i="5"/>
  <c r="E20" i="1"/>
  <c r="F19" i="1"/>
  <c r="G18" i="1"/>
  <c r="H17" i="1"/>
  <c r="D17" i="1"/>
  <c r="E16" i="1"/>
  <c r="F15" i="1"/>
  <c r="G14" i="1"/>
  <c r="H13" i="1"/>
  <c r="D13" i="1"/>
  <c r="E12" i="1"/>
  <c r="F11" i="1"/>
  <c r="G10" i="1"/>
  <c r="H9" i="1"/>
  <c r="D9" i="1"/>
  <c r="E8" i="1"/>
  <c r="F7" i="1"/>
  <c r="G6" i="1"/>
  <c r="H5" i="1"/>
  <c r="D5" i="1"/>
  <c r="E4" i="1"/>
  <c r="G4" i="5"/>
  <c r="H20" i="1"/>
  <c r="D20" i="1"/>
  <c r="E19" i="1"/>
  <c r="F18" i="1"/>
  <c r="G17" i="1"/>
  <c r="H16" i="1"/>
  <c r="D16" i="1"/>
  <c r="E15" i="1"/>
  <c r="F14" i="1"/>
  <c r="G13" i="1"/>
  <c r="H12" i="1"/>
  <c r="D12" i="1"/>
  <c r="E11" i="1"/>
  <c r="F10" i="1"/>
  <c r="G9" i="1"/>
  <c r="H8" i="1"/>
  <c r="D8" i="1"/>
  <c r="E7" i="1"/>
  <c r="F6" i="1"/>
  <c r="G5" i="1"/>
  <c r="H4" i="1"/>
  <c r="D4" i="1"/>
  <c r="F4" i="5"/>
  <c r="K20" i="1"/>
  <c r="G20" i="1"/>
  <c r="H19" i="1"/>
  <c r="D19" i="1"/>
  <c r="L19" i="1" s="1"/>
  <c r="E18" i="1"/>
  <c r="F17" i="1"/>
  <c r="K16" i="1"/>
  <c r="G16" i="1"/>
  <c r="H15" i="1"/>
  <c r="D15" i="1"/>
  <c r="L15" i="1" s="1"/>
  <c r="E14" i="1"/>
  <c r="F13" i="1"/>
  <c r="K12" i="1"/>
  <c r="G12" i="1"/>
  <c r="H11" i="1"/>
  <c r="D11" i="1"/>
  <c r="L11" i="1" s="1"/>
  <c r="E10" i="1"/>
  <c r="F9" i="1"/>
  <c r="K8" i="1"/>
  <c r="G8" i="1"/>
  <c r="H7" i="1"/>
  <c r="D7" i="1"/>
  <c r="L7" i="1" s="1"/>
  <c r="E6" i="1"/>
  <c r="F5" i="1"/>
  <c r="K4" i="1"/>
  <c r="G4" i="1"/>
  <c r="E4" i="5"/>
  <c r="F20" i="1"/>
  <c r="J20" i="1" s="1"/>
  <c r="K19" i="1"/>
  <c r="G19" i="1"/>
  <c r="K15" i="1"/>
  <c r="D14" i="1"/>
  <c r="F12" i="1"/>
  <c r="H10" i="1"/>
  <c r="E5" i="1"/>
  <c r="E17" i="1"/>
  <c r="G15" i="1"/>
  <c r="K11" i="1"/>
  <c r="D10" i="1"/>
  <c r="F8" i="1"/>
  <c r="J8" i="1" s="1"/>
  <c r="H6" i="1"/>
  <c r="H18" i="1"/>
  <c r="L14" i="1"/>
  <c r="E13" i="1"/>
  <c r="G11" i="1"/>
  <c r="K7" i="1"/>
  <c r="D6" i="1"/>
  <c r="L6" i="1" s="1"/>
  <c r="F4" i="1"/>
  <c r="J4" i="1" s="1"/>
  <c r="D18" i="1"/>
  <c r="L18" i="1" s="1"/>
  <c r="F16" i="1"/>
  <c r="J16" i="1" s="1"/>
  <c r="H14" i="1"/>
  <c r="J12" i="1"/>
  <c r="L10" i="1"/>
  <c r="E9" i="1"/>
  <c r="G7" i="1"/>
  <c r="I5" i="1"/>
  <c r="F6" i="4"/>
  <c r="H6" i="4"/>
  <c r="G6" i="4"/>
  <c r="E51" i="1"/>
  <c r="F38" i="1"/>
  <c r="G25" i="1"/>
  <c r="H54" i="1"/>
  <c r="F37" i="1"/>
  <c r="F60" i="1"/>
  <c r="E40" i="1"/>
  <c r="F61" i="1"/>
  <c r="H46" i="1"/>
  <c r="H47" i="1"/>
  <c r="D22" i="1"/>
  <c r="G53" i="1"/>
  <c r="H40" i="1"/>
  <c r="D28" i="1"/>
  <c r="H57" i="1"/>
  <c r="F40" i="1"/>
  <c r="D23" i="1"/>
  <c r="G51" i="1"/>
  <c r="G35" i="1"/>
  <c r="E60" i="1"/>
  <c r="E41" i="1"/>
  <c r="F33" i="1"/>
  <c r="H53" i="1"/>
  <c r="G43" i="1"/>
  <c r="E43" i="1"/>
  <c r="F43" i="1"/>
  <c r="G38" i="1"/>
  <c r="D37" i="1"/>
  <c r="G56" i="1"/>
  <c r="D41" i="1"/>
  <c r="I22" i="1"/>
  <c r="F42" i="1"/>
  <c r="D42" i="1"/>
  <c r="E37" i="1"/>
  <c r="G36" i="1"/>
  <c r="D54" i="1"/>
  <c r="E58" i="1"/>
  <c r="K42" i="1"/>
  <c r="D40" i="1"/>
  <c r="D39" i="1"/>
  <c r="E34" i="1"/>
  <c r="D63" i="1"/>
  <c r="E32" i="1"/>
  <c r="F29" i="1"/>
  <c r="G30" i="1"/>
  <c r="H33" i="1"/>
  <c r="J41" i="1"/>
  <c r="F58" i="1"/>
  <c r="H32" i="1"/>
  <c r="G63" i="1"/>
  <c r="D29" i="1"/>
  <c r="D49" i="1"/>
  <c r="D47" i="1"/>
  <c r="K22" i="1"/>
  <c r="F8" i="3"/>
  <c r="K29" i="1"/>
  <c r="L63" i="1"/>
  <c r="K49" i="1"/>
  <c r="L47" i="1"/>
  <c r="H60" i="1"/>
  <c r="D48" i="1"/>
  <c r="K48" i="1" s="1"/>
  <c r="E35" i="1"/>
  <c r="F22" i="1"/>
  <c r="G50" i="1"/>
  <c r="E33" i="1"/>
  <c r="E56" i="1"/>
  <c r="G32" i="1"/>
  <c r="E57" i="1"/>
  <c r="G42" i="1"/>
  <c r="H34" i="1"/>
  <c r="D21" i="1"/>
  <c r="F36" i="1"/>
  <c r="E63" i="1"/>
  <c r="F50" i="1"/>
  <c r="G37" i="1"/>
  <c r="H24" i="1"/>
  <c r="F53" i="1"/>
  <c r="E36" i="1"/>
  <c r="F63" i="1"/>
  <c r="F47" i="1"/>
  <c r="F31" i="1"/>
  <c r="D53" i="1"/>
  <c r="J53" i="1" s="1"/>
  <c r="E38" i="1"/>
  <c r="E26" i="1"/>
  <c r="E61" i="1"/>
  <c r="F39" i="1"/>
  <c r="E25" i="1"/>
  <c r="L28" i="1"/>
  <c r="F62" i="1"/>
  <c r="H36" i="1"/>
  <c r="H35" i="1"/>
  <c r="D62" i="1"/>
  <c r="D30" i="1"/>
  <c r="H59" i="1"/>
  <c r="G40" i="1"/>
  <c r="F35" i="1"/>
  <c r="G24" i="1"/>
  <c r="J28" i="1"/>
  <c r="G61" i="1"/>
  <c r="D36" i="1"/>
  <c r="I36" i="1" s="1"/>
  <c r="G34" i="1"/>
  <c r="H61" i="1"/>
  <c r="H29" i="1"/>
  <c r="G58" i="1"/>
  <c r="D38" i="1"/>
  <c r="K38" i="1" s="1"/>
  <c r="D34" i="1"/>
  <c r="I34" i="1" s="1"/>
  <c r="D35" i="1"/>
  <c r="I38" i="1"/>
  <c r="E59" i="1"/>
  <c r="G33" i="1"/>
  <c r="F54" i="1"/>
  <c r="H28" i="1"/>
  <c r="D58" i="1"/>
  <c r="F24" i="1"/>
  <c r="F44" i="1"/>
  <c r="G59" i="1"/>
  <c r="F49" i="1"/>
  <c r="F55" i="1"/>
  <c r="L48" i="1"/>
  <c r="D44" i="1"/>
  <c r="G44" i="1"/>
  <c r="H39" i="1"/>
  <c r="E45" i="1"/>
  <c r="H30" i="1"/>
  <c r="J48" i="1"/>
  <c r="D24" i="1"/>
  <c r="I24" i="1" s="1"/>
  <c r="J21" i="1"/>
  <c r="G29" i="1"/>
  <c r="H25" i="1"/>
  <c r="E21" i="1"/>
  <c r="K23" i="1"/>
  <c r="F23" i="1"/>
  <c r="H52" i="1"/>
  <c r="H22" i="1"/>
  <c r="H42" i="1"/>
  <c r="F48" i="1"/>
  <c r="D51" i="1"/>
  <c r="I51" i="1" s="1"/>
  <c r="L23" i="1"/>
  <c r="K37" i="1"/>
  <c r="J54" i="1"/>
  <c r="L58" i="1"/>
  <c r="E39" i="1"/>
  <c r="D55" i="1"/>
  <c r="K55" i="1" s="1"/>
  <c r="F25" i="1"/>
  <c r="L39" i="1"/>
  <c r="E42" i="1"/>
  <c r="E29" i="1"/>
  <c r="J24" i="1"/>
  <c r="L41" i="1"/>
  <c r="L35" i="1"/>
  <c r="I48" i="1"/>
  <c r="J30" i="1"/>
  <c r="L37" i="1"/>
  <c r="K36" i="1"/>
  <c r="L54" i="1"/>
  <c r="J35" i="1"/>
  <c r="J40" i="1"/>
  <c r="K63" i="1"/>
  <c r="J51" i="1"/>
  <c r="J29" i="1"/>
  <c r="K47" i="1"/>
  <c r="I30" i="1"/>
  <c r="I62" i="1"/>
  <c r="K35" i="1"/>
  <c r="F26" i="1"/>
  <c r="E46" i="1"/>
  <c r="F57" i="1"/>
  <c r="L49" i="1"/>
  <c r="E28" i="1"/>
  <c r="J62" i="1"/>
  <c r="K30" i="1"/>
  <c r="J37" i="1"/>
  <c r="K54" i="1"/>
  <c r="I35" i="1"/>
  <c r="J39" i="1"/>
  <c r="H41" i="1"/>
  <c r="E24" i="1"/>
  <c r="D50" i="1"/>
  <c r="J50" i="1" s="1"/>
  <c r="H21" i="1"/>
  <c r="G26" i="1"/>
  <c r="H56" i="1"/>
  <c r="E31" i="1"/>
  <c r="F27" i="1"/>
  <c r="H55" i="1"/>
  <c r="H23" i="1"/>
  <c r="G62" i="1"/>
  <c r="G49" i="1"/>
  <c r="D46" i="1"/>
  <c r="E44" i="1"/>
  <c r="E55" i="1"/>
  <c r="E53" i="1"/>
  <c r="F51" i="1"/>
  <c r="H27" i="1"/>
  <c r="J44" i="1"/>
  <c r="E27" i="1"/>
  <c r="H58" i="1"/>
  <c r="H38" i="1"/>
  <c r="H62" i="1"/>
  <c r="L30" i="1"/>
  <c r="L53" i="1"/>
  <c r="L22" i="1"/>
  <c r="L51" i="1"/>
  <c r="E8" i="3"/>
  <c r="K24" i="1"/>
  <c r="L62" i="1"/>
  <c r="L42" i="1"/>
  <c r="L40" i="1"/>
  <c r="K39" i="1"/>
  <c r="I49" i="1"/>
  <c r="I53" i="1"/>
  <c r="I23" i="1"/>
  <c r="I54" i="1"/>
  <c r="D32" i="1"/>
  <c r="E62" i="1"/>
  <c r="G28" i="1"/>
  <c r="G48" i="1"/>
  <c r="G39" i="1"/>
  <c r="G21" i="1"/>
  <c r="E49" i="1"/>
  <c r="D43" i="1"/>
  <c r="D57" i="1"/>
  <c r="L44" i="1"/>
  <c r="F30" i="1"/>
  <c r="D26" i="1"/>
  <c r="D25" i="1"/>
  <c r="H48" i="1"/>
  <c r="H51" i="1"/>
  <c r="H43" i="1"/>
  <c r="J38" i="1"/>
  <c r="E50" i="1"/>
  <c r="H50" i="1"/>
  <c r="J43" i="1"/>
  <c r="J42" i="1"/>
  <c r="J25" i="1"/>
  <c r="F21" i="1"/>
  <c r="G55" i="1"/>
  <c r="G46" i="1"/>
  <c r="K34" i="1"/>
  <c r="J47" i="1"/>
  <c r="K62" i="1"/>
  <c r="K41" i="1"/>
  <c r="L34" i="1"/>
  <c r="K40" i="1"/>
  <c r="K51" i="1"/>
  <c r="I47" i="1"/>
  <c r="J36" i="1"/>
  <c r="I41" i="1"/>
  <c r="I37" i="1"/>
  <c r="J49" i="1"/>
  <c r="H44" i="1"/>
  <c r="D45" i="1"/>
  <c r="F28" i="1"/>
  <c r="E54" i="1"/>
  <c r="G27" i="1"/>
  <c r="D31" i="1"/>
  <c r="L32" i="1"/>
  <c r="D60" i="1"/>
  <c r="F34" i="1"/>
  <c r="G31" i="1"/>
  <c r="D59" i="1"/>
  <c r="D27" i="1"/>
  <c r="H49" i="1"/>
  <c r="H31" i="1"/>
  <c r="K59" i="1"/>
  <c r="D56" i="1"/>
  <c r="G60" i="1"/>
  <c r="G54" i="1"/>
  <c r="G52" i="1"/>
  <c r="G23" i="1"/>
  <c r="J26" i="1"/>
  <c r="E23" i="1"/>
  <c r="L21" i="1"/>
  <c r="F46" i="1"/>
  <c r="F56" i="1"/>
  <c r="H26" i="1"/>
  <c r="I40" i="1"/>
  <c r="I44" i="1"/>
  <c r="I27" i="1"/>
  <c r="K45" i="1"/>
  <c r="G8" i="3"/>
  <c r="L24" i="1"/>
  <c r="I42" i="1"/>
  <c r="J63" i="1"/>
  <c r="L29" i="1"/>
  <c r="I55" i="1"/>
  <c r="G41" i="1"/>
  <c r="J22" i="1"/>
  <c r="D61" i="1"/>
  <c r="F45" i="1"/>
  <c r="K50" i="1"/>
  <c r="E52" i="1"/>
  <c r="F59" i="1"/>
  <c r="E22" i="1"/>
  <c r="G47" i="1"/>
  <c r="F52" i="1"/>
  <c r="D52" i="1"/>
  <c r="F41" i="1"/>
  <c r="E48" i="1"/>
  <c r="I28" i="1"/>
  <c r="K53" i="1"/>
  <c r="J34" i="1"/>
  <c r="I63" i="1"/>
  <c r="L55" i="1"/>
  <c r="J23" i="1"/>
  <c r="L36" i="1"/>
  <c r="G57" i="1"/>
  <c r="H63" i="1"/>
  <c r="E47" i="1"/>
  <c r="H37" i="1"/>
  <c r="G22" i="1"/>
  <c r="L50" i="1"/>
  <c r="H45" i="1"/>
  <c r="E30" i="1"/>
  <c r="J60" i="1"/>
  <c r="G45" i="1"/>
  <c r="D33" i="1"/>
  <c r="F32" i="1"/>
  <c r="I43" i="1"/>
  <c r="I26" i="1"/>
  <c r="L38" i="1"/>
  <c r="I29" i="1"/>
  <c r="I39" i="1"/>
  <c r="J55" i="1"/>
  <c r="I50" i="1"/>
  <c r="K21" i="1"/>
  <c r="I21" i="1"/>
  <c r="J58" i="1"/>
  <c r="I58" i="1"/>
  <c r="K58" i="1"/>
  <c r="I46" i="1"/>
  <c r="L46" i="1"/>
  <c r="J46" i="1"/>
  <c r="K46" i="1"/>
  <c r="J32" i="1"/>
  <c r="I32" i="1"/>
  <c r="K32" i="1"/>
  <c r="L43" i="1"/>
  <c r="K43" i="1"/>
  <c r="K57" i="1"/>
  <c r="L57" i="1"/>
  <c r="J57" i="1"/>
  <c r="I57" i="1"/>
  <c r="K26" i="1"/>
  <c r="L26" i="1"/>
  <c r="K25" i="1"/>
  <c r="L25" i="1"/>
  <c r="I25" i="1"/>
  <c r="I45" i="1"/>
  <c r="L45" i="1"/>
  <c r="J45" i="1"/>
  <c r="L31" i="1"/>
  <c r="K31" i="1"/>
  <c r="J31" i="1"/>
  <c r="I31" i="1"/>
  <c r="K60" i="1"/>
  <c r="I60" i="1"/>
  <c r="L59" i="1"/>
  <c r="I59" i="1"/>
  <c r="L27" i="1"/>
  <c r="J27" i="1"/>
  <c r="K27" i="1"/>
  <c r="I56" i="1"/>
  <c r="K56" i="1"/>
  <c r="J56" i="1"/>
  <c r="L56" i="1"/>
  <c r="J8" i="3"/>
  <c r="I8" i="3"/>
  <c r="K61" i="1"/>
  <c r="J61" i="1"/>
  <c r="I61" i="1"/>
  <c r="J52" i="1"/>
  <c r="K52" i="1"/>
  <c r="L52" i="1"/>
  <c r="I52" i="1"/>
  <c r="J33" i="1"/>
  <c r="K33" i="1"/>
  <c r="I33" i="1"/>
  <c r="L33" i="1"/>
  <c r="K8" i="3"/>
  <c r="K44" i="1"/>
  <c r="L61" i="1"/>
  <c r="K28" i="1"/>
  <c r="J59" i="1"/>
  <c r="H8" i="3"/>
  <c r="L60" i="1"/>
  <c r="L8" i="3"/>
  <c r="L20" i="1"/>
  <c r="I20" i="1"/>
  <c r="I19" i="1"/>
  <c r="J19" i="1"/>
  <c r="L16" i="1"/>
  <c r="I16" i="1"/>
  <c r="I15" i="1"/>
  <c r="J15" i="1"/>
  <c r="L12" i="1"/>
  <c r="I12" i="1"/>
  <c r="I11" i="1"/>
  <c r="J11" i="1"/>
  <c r="L8" i="1"/>
  <c r="I8" i="1"/>
  <c r="I7" i="1"/>
  <c r="J7" i="1"/>
  <c r="L4" i="1"/>
  <c r="I4" i="1"/>
  <c r="I18" i="1"/>
  <c r="J18" i="1"/>
  <c r="K18" i="1"/>
  <c r="I14" i="1"/>
  <c r="J14" i="1"/>
  <c r="K14" i="1"/>
  <c r="I10" i="1"/>
  <c r="J10" i="1"/>
  <c r="K10" i="1"/>
  <c r="I6" i="1"/>
  <c r="J6" i="1"/>
  <c r="K6" i="1"/>
  <c r="I4" i="5"/>
  <c r="J4" i="5"/>
  <c r="K4" i="5"/>
  <c r="L4" i="5"/>
  <c r="J5" i="1"/>
  <c r="K5" i="1"/>
  <c r="L5" i="1"/>
  <c r="I17" i="1"/>
  <c r="J17" i="1"/>
  <c r="K17" i="1"/>
  <c r="L17" i="1"/>
  <c r="I13" i="1"/>
  <c r="J13" i="1"/>
  <c r="K13" i="1"/>
  <c r="L13" i="1"/>
  <c r="I9" i="1"/>
  <c r="J9" i="1"/>
  <c r="K9" i="1"/>
  <c r="L9" i="1"/>
</calcChain>
</file>

<file path=xl/sharedStrings.xml><?xml version="1.0" encoding="utf-8"?>
<sst xmlns="http://schemas.openxmlformats.org/spreadsheetml/2006/main" count="610" uniqueCount="533">
  <si>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</si>
  <si>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</si>
  <si>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</si>
  <si>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</si>
  <si>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</si>
  <si>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</si>
  <si>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</si>
  <si>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</si>
  <si>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</si>
  <si>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</si>
  <si>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</si>
  <si>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</si>
  <si>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</si>
  <si>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</si>
  <si>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</si>
  <si>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</si>
  <si>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</si>
  <si>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</si>
  <si>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</si>
  <si>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</si>
  <si>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</si>
  <si>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</si>
  <si>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</si>
  <si>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</si>
  <si>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</si>
  <si>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</si>
  <si>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</si>
  <si>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</si>
  <si>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</si>
  <si>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</si>
  <si>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</si>
  <si>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</si>
  <si>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</si>
  <si>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</si>
  <si>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</si>
  <si>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</si>
  <si>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</si>
  <si>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</si>
  <si>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</si>
  <si>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</si>
  <si>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</si>
  <si>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</si>
  <si>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</si>
  <si>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</si>
  <si>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</si>
  <si>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</si>
  <si>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</si>
  <si>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</si>
  <si>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</si>
  <si>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</si>
  <si>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</si>
  <si>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</si>
  <si>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</si>
  <si>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</si>
  <si>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</si>
  <si>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</si>
  <si>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</si>
  <si>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</si>
  <si>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</si>
  <si>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</si>
  <si>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</si>
  <si>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</si>
  <si>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</si>
  <si>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</si>
  <si>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</si>
  <si>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</si>
  <si>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</si>
  <si>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</si>
  <si>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</si>
  <si>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</si>
  <si>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</si>
  <si>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</si>
  <si>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</si>
  <si>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</si>
  <si>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</si>
  <si>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</si>
  <si>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</si>
  <si>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</si>
  <si>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</si>
  <si>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</si>
  <si>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</si>
  <si>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</si>
  <si>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</si>
  <si>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</si>
  <si>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</si>
  <si>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</si>
  <si>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</si>
  <si>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</si>
  <si>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</si>
  <si>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</si>
  <si>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</si>
  <si>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</si>
  <si>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</si>
  <si>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</si>
  <si>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</si>
  <si>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</si>
  <si>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</si>
  <si>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</si>
  <si>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</si>
  <si>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</si>
  <si>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</si>
  <si>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</si>
  <si>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</si>
  <si>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</si>
  <si>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</si>
  <si>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</si>
  <si>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</si>
  <si>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</si>
  <si>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</si>
  <si>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</si>
  <si>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</si>
  <si>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</si>
  <si>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</si>
  <si>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</si>
  <si>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</si>
  <si>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</si>
  <si>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</si>
  <si>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</si>
  <si>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</si>
  <si>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</si>
  <si>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</si>
  <si>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</si>
  <si>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</si>
  <si>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</si>
  <si>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</si>
  <si>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</si>
  <si>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</si>
  <si>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</si>
  <si>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</si>
  <si>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</si>
  <si>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</si>
  <si>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</si>
  <si>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</si>
  <si>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</si>
  <si>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</si>
  <si>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</si>
  <si>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</si>
  <si>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</si>
  <si>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</si>
  <si>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</si>
  <si>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</si>
  <si>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</si>
  <si>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</si>
  <si>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</si>
  <si>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</si>
  <si>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</si>
  <si>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</si>
  <si>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</si>
  <si>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</si>
  <si>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</si>
  <si>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</si>
  <si>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</si>
  <si>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</si>
  <si>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</si>
  <si>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</si>
  <si>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</si>
  <si>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</si>
  <si>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</si>
  <si>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</si>
  <si>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</si>
  <si>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</si>
  <si>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</si>
  <si>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</si>
  <si>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</si>
  <si>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</si>
  <si>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</si>
  <si>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</si>
  <si>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</si>
  <si>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</si>
  <si>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</si>
  <si>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</si>
  <si>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</si>
  <si>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</si>
  <si>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</si>
  <si>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</si>
  <si>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</si>
  <si>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</si>
  <si>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</si>
  <si>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</si>
  <si>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</si>
  <si>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</si>
  <si>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</si>
  <si>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</si>
  <si>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</si>
  <si>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GDA94 coordinates of Alice Springs (ALIC)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</si>
  <si>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</si>
  <si>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</si>
  <si>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</si>
  <si>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</si>
  <si>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</si>
  <si>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</si>
  <si>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</si>
  <si>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</si>
  <si>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</si>
  <si>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</si>
  <si>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</si>
  <si>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</si>
  <si>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</si>
  <si>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</si>
  <si>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</si>
  <si>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</si>
  <si>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</si>
  <si>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</si>
  <si>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</si>
  <si>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</si>
  <si>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</si>
  <si>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</si>
  <si>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</si>
  <si>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</si>
  <si>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</si>
  <si>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</si>
  <si>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</si>
  <si>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</si>
  <si>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</si>
  <si>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</si>
  <si>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</si>
  <si>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</si>
  <si>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</si>
  <si>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</si>
  <si>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</si>
  <si>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</si>
  <si>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</si>
  <si>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</si>
  <si>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</si>
  <si>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</si>
  <si>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</si>
  <si>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</si>
  <si>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</si>
  <si>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</si>
  <si>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</si>
  <si>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</si>
  <si>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</si>
  <si>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</si>
  <si>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</si>
  <si>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</si>
  <si>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</si>
  <si>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</si>
  <si>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</si>
  <si>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</si>
  <si>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</si>
  <si>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</si>
  <si>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</si>
  <si>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FRAZER 2020</t>
  </si>
  <si>
    <t>GABYON2020</t>
  </si>
  <si>
    <t>GALVANS2020</t>
  </si>
  <si>
    <t>GASCOYNE2020</t>
  </si>
  <si>
    <t>GIBB2 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</si>
  <si>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</si>
  <si>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</si>
  <si>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</si>
  <si>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</si>
  <si>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</si>
  <si>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</si>
  <si>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</si>
  <si>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</si>
  <si>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</si>
  <si>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</si>
  <si>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</si>
  <si>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</si>
  <si>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</si>
  <si>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</si>
  <si>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</si>
  <si>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</si>
  <si>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</si>
  <si>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</si>
  <si>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</si>
  <si>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</si>
  <si>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</si>
  <si>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</si>
  <si>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</si>
  <si>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</si>
  <si>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</si>
  <si>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</si>
  <si>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</si>
  <si>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</si>
  <si>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LAKEGRACE 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</si>
  <si>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</si>
  <si>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</si>
  <si>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</si>
  <si>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</si>
  <si>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</si>
  <si>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</si>
  <si>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</si>
  <si>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</si>
  <si>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</si>
  <si>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</si>
  <si>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MARVEL 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</si>
  <si>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</si>
  <si>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</si>
  <si>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</si>
  <si>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</si>
  <si>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</si>
  <si>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</si>
  <si>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</si>
  <si>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</si>
  <si>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</si>
  <si>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</si>
  <si>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</si>
  <si>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</si>
  <si>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</si>
  <si>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MUKINBUDIN 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</si>
  <si>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</si>
  <si>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</si>
  <si>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</si>
  <si>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</si>
  <si>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</si>
  <si>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</si>
  <si>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</si>
  <si>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</si>
  <si>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</si>
  <si>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</si>
  <si>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</si>
  <si>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</si>
  <si>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</si>
  <si>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</si>
  <si>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</si>
  <si>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</si>
  <si>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</si>
  <si>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</si>
  <si>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</si>
  <si>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</si>
  <si>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</si>
  <si>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</si>
  <si>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</si>
  <si>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</si>
  <si>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</si>
  <si>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</si>
  <si>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</si>
  <si>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</si>
  <si>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STOKES 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</si>
  <si>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</si>
  <si>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</si>
  <si>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</si>
  <si>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</si>
  <si>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</si>
  <si>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</si>
  <si>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</si>
  <si>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</si>
  <si>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</si>
  <si>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</si>
  <si>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</si>
  <si>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</si>
  <si>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</si>
  <si>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</si>
  <si>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WARREL 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</si>
  <si>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</si>
  <si>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</si>
  <si>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</si>
  <si>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</si>
  <si>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</si>
  <si>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</si>
  <si>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</si>
  <si>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</si>
  <si>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</si>
  <si>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</si>
  <si>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</si>
  <si>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</si>
  <si>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</si>
  <si>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</si>
  <si>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</si>
  <si>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</si>
  <si>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</si>
  <si>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</si>
  <si>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</si>
  <si>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</si>
  <si>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</si>
  <si>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</si>
  <si>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</si>
  <si>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</si>
  <si>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</si>
  <si>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</si>
  <si>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</si>
  <si>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</si>
  <si>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</si>
  <si>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</si>
  <si>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</si>
  <si>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</si>
  <si>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</si>
  <si>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</si>
  <si>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</si>
  <si>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</si>
  <si>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</si>
  <si>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</si>
  <si>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</si>
  <si>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</si>
  <si>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</si>
  <si>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</si>
  <si>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</si>
  <si>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</si>
  <si>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</si>
  <si>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</si>
  <si>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</si>
  <si>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</si>
  <si>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</si>
  <si>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</si>
  <si>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</si>
  <si>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</si>
  <si>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</si>
  <si>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</si>
  <si>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</si>
  <si>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</si>
  <si>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</si>
  <si>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</si>
  <si>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</si>
  <si>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</si>
  <si>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</si>
  <si>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</si>
  <si>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</si>
  <si>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</si>
  <si>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</si>
  <si>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</si>
  <si>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FRAZER 94</t>
  </si>
  <si>
    <t>GABYON94</t>
  </si>
  <si>
    <t>GALVANS94</t>
  </si>
  <si>
    <t>GASCOYNE94</t>
  </si>
  <si>
    <t>GIBB2 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</si>
  <si>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</si>
  <si>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</si>
  <si>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</si>
  <si>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</si>
  <si>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</si>
  <si>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</si>
  <si>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</si>
  <si>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</si>
  <si>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</si>
  <si>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</si>
  <si>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</si>
  <si>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</si>
  <si>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</si>
  <si>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</si>
  <si>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</si>
  <si>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</si>
  <si>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</si>
  <si>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</si>
  <si>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</si>
  <si>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</si>
  <si>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</si>
  <si>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</si>
  <si>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</si>
  <si>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</si>
  <si>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</si>
  <si>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</si>
  <si>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</si>
  <si>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</si>
  <si>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LAKEGRACE 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</si>
  <si>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</si>
  <si>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</si>
  <si>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</si>
  <si>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</si>
  <si>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</si>
  <si>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</si>
  <si>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</si>
  <si>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</si>
  <si>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</si>
  <si>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</si>
  <si>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MARVEL 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</si>
  <si>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</si>
  <si>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</si>
  <si>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</si>
  <si>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</si>
  <si>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</si>
  <si>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</si>
  <si>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</si>
  <si>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</si>
  <si>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</si>
  <si>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</si>
  <si>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</si>
  <si>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</si>
  <si>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MUKINBUDIN 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</si>
  <si>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</si>
  <si>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</si>
  <si>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</si>
  <si>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</si>
  <si>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</si>
  <si>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</si>
  <si>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</si>
  <si>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</si>
  <si>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</si>
  <si>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</si>
  <si>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</si>
  <si>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</si>
  <si>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</si>
  <si>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</si>
  <si>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</si>
  <si>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</si>
  <si>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</si>
  <si>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</si>
  <si>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</si>
  <si>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</si>
  <si>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</si>
  <si>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</si>
  <si>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</si>
  <si>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</si>
  <si>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</si>
  <si>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</si>
  <si>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</si>
  <si>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STOKES 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</si>
  <si>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</si>
  <si>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</si>
  <si>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</si>
  <si>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</si>
  <si>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</si>
  <si>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</si>
  <si>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</si>
  <si>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</si>
  <si>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</si>
  <si>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</si>
  <si>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</si>
  <si>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</si>
  <si>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</si>
  <si>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</si>
  <si>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WARREL 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</si>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</sst>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4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Fill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Font="1" applyBorder="1" applyAlignment="1">
      <alignment wrapText="1"/>
    </xf>
    <xf numFmtId="164" fontId="5" fillId="3" borderId="9" xfId="4" applyNumberFormat="1" applyFont="1" applyBorder="1"/>
    <xf numFmtId="0" fontId="5" fillId="3" borderId="9" xfId="4" applyFont="1" applyBorder="1" applyAlignment="1">
      <alignment horizontal="center"/>
    </xf>
    <xf numFmtId="165" fontId="5" fillId="3" borderId="9" xfId="4" applyNumberFormat="1" applyFont="1" applyBorder="1"/>
    <xf numFmtId="0" fontId="5" fillId="5" borderId="9" xfId="4" applyFont="1" applyFill="1" applyBorder="1"/>
    <xf numFmtId="165" fontId="5" fillId="5" borderId="9" xfId="4" applyNumberFormat="1" applyFont="1" applyFill="1" applyBorder="1"/>
    <xf numFmtId="0" fontId="5" fillId="5" borderId="10" xfId="4" applyFont="1" applyFill="1" applyBorder="1" applyAlignment="1">
      <alignment horizontal="center"/>
    </xf>
    <xf numFmtId="0" fontId="7" fillId="2" borderId="8" xfId="3" applyFont="1" applyBorder="1" applyAlignment="1"/>
    <xf numFmtId="0" fontId="6" fillId="0" borderId="0" xfId="0" applyFont="1" applyAlignment="1"/>
    <xf numFmtId="0" fontId="8" fillId="0" borderId="0" xfId="0" applyFont="1"/>
    <xf numFmtId="0" fontId="6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Fill="1" applyBorder="1" applyAlignment="1">
      <alignment horizontal="center" textRotation="75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sphdis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opLeftCell="A4" zoomScale="89" zoomScaleNormal="89" workbookViewId="0">
      <selection activeCell="A33" sqref="A33"/>
    </sheetView>
  </sheetViews>
  <sheetFormatPr defaultRowHeight="14.4" x14ac:dyDescent="0.3"/>
  <cols>
    <col min="1" max="1" width="25.33203125" bestFit="1" customWidth="1"/>
    <col min="2" max="3" width="17" customWidth="1"/>
    <col min="4" max="5" width="14.109375" customWidth="1"/>
    <col min="6" max="6" width="12.33203125" customWidth="1"/>
    <col min="7" max="7" width="19.5546875" bestFit="1" customWidth="1"/>
    <col min="8" max="8" width="19.44140625" bestFit="1" customWidth="1"/>
    <col min="9" max="10" width="17" customWidth="1"/>
    <col min="11" max="11" width="19.44140625" bestFit="1" customWidth="1"/>
    <col min="12" max="12" width="19.5546875" bestFit="1" customWidth="1"/>
    <col min="13" max="13" width="12.6640625" bestFit="1" customWidth="1"/>
  </cols>
  <sheetData>
    <row r="2" spans="1:12" s="6" customFormat="1" ht="203.4" x14ac:dyDescent="0.3">
      <c r="A2" s="42" t="s">
        <v>114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4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5">
      <c r="A4" s="41" t="s">
        <v>138</v>
      </c>
      <c r="B4" s="33" t="s">
        <v>140</v>
      </c>
      <c r="C4" s="33" t="s">
        <v>161</v>
      </c>
      <c r="D4" s="34">
        <f>grideasting(B4,C4,A4)</f>
        <v>394478.38454647566</v>
      </c>
      <c r="E4" s="35">
        <f>gridnorthing(B4,C4,A4)</f>
        <v>6480973.9353901688</v>
      </c>
      <c r="F4" s="36">
        <f>gridzone(B4,C4,A4)</f>
        <v>50</v>
      </c>
      <c r="G4" s="36" t="str">
        <f>GridGridCon(B4,C4,A4)</f>
        <v>-1 35 15.02</v>
      </c>
      <c r="H4" s="37">
        <f>GridPntScleFact(B4,C4,A4)</f>
        <v>0.99973732494035861</v>
      </c>
      <c r="I4" s="38" t="str">
        <f>datumlat(D4,E4,F4,A4)</f>
        <v>-32 48 07.06487</v>
      </c>
      <c r="J4" s="38" t="str">
        <f>datumlong(D4,E4,F4,A4)</f>
        <v>115 53 06.94375</v>
      </c>
      <c r="K4" s="39">
        <f>DatumPntScle(D4,E4,F4,A4)</f>
        <v>0.99973732494032375</v>
      </c>
      <c r="L4" s="40" t="str">
        <f>DatumGridConv(D4,E4,F4,A4)</f>
        <v>-1 35 15.02</v>
      </c>
    </row>
    <row r="5" spans="1:12" ht="15.75" customHeight="1" x14ac:dyDescent="0.3">
      <c r="A5" s="23" t="s">
        <v>1</v>
      </c>
      <c r="B5" s="24" t="s">
        <v>141</v>
      </c>
      <c r="C5" s="24" t="s">
        <v>162</v>
      </c>
      <c r="D5" s="25">
        <f>grideasting(B5,C5,A5)</f>
        <v>52218.158970447555</v>
      </c>
      <c r="E5" s="26">
        <f>gridnorthing(B5,C5,A5)</f>
        <v>222882.2494979687</v>
      </c>
      <c r="F5" s="27">
        <f>gridzone(B5,C5,A5)</f>
        <v>1</v>
      </c>
      <c r="G5" s="27" t="str">
        <f>GridGridCon(B5,C5,A5)</f>
        <v>0 00 50.22</v>
      </c>
      <c r="H5" s="28">
        <f>GridPntScleFact(B5,C5,A5)</f>
        <v>1.0000044606129772</v>
      </c>
      <c r="I5" s="29" t="str">
        <f>datumlat(D5,E5,F5,A5)</f>
        <v>-36 01 21.36837</v>
      </c>
      <c r="J5" s="29" t="str">
        <f>datumlong(D5,E5,F5,A5)</f>
        <v>117 54 27.49802</v>
      </c>
      <c r="K5" s="30">
        <f>DatumPntScle(D5,E5,F5,A5)</f>
        <v>1.0000044606129772</v>
      </c>
      <c r="L5" s="31" t="str">
        <f>DatumGridConv(D5,E5,F5,A5)</f>
        <v>0 00 50.22</v>
      </c>
    </row>
    <row r="6" spans="1:12" ht="15.75" customHeight="1" x14ac:dyDescent="0.3">
      <c r="A6" s="2" t="s">
        <v>2</v>
      </c>
      <c r="B6" s="3" t="s">
        <v>142</v>
      </c>
      <c r="C6" s="3" t="s">
        <v>163</v>
      </c>
      <c r="D6" s="13">
        <f>grideasting(B6,C6,A6)</f>
        <v>43346.105333539177</v>
      </c>
      <c r="E6" s="4">
        <f>gridnorthing(B6,C6,A6)</f>
        <v>273769.14123761328</v>
      </c>
      <c r="F6" s="8">
        <f>gridzone(B6,C6,A6)</f>
        <v>1</v>
      </c>
      <c r="G6" s="8" t="str">
        <f>GridGridCon(B6,C6,A6)</f>
        <v>-1 02 23.16</v>
      </c>
      <c r="H6" s="9">
        <f>GridPntScleFact(B6,C6,A6)</f>
        <v>0.99999646558783428</v>
      </c>
      <c r="I6" s="5" t="str">
        <f>datumlat(D6,E6,F6,A6)</f>
        <v>-34 39 45.57088</v>
      </c>
      <c r="J6" s="5" t="str">
        <f>datumlong(D6,E6,F6,A6)</f>
        <v>115 21 41.73008</v>
      </c>
      <c r="K6" s="10">
        <f>DatumPntScle(D6,E6,F6,A6)</f>
        <v>0.99999646558783428</v>
      </c>
      <c r="L6" s="11" t="str">
        <f>DatumGridConv(D6,E6,F6,A6)</f>
        <v>-1 02 23.16</v>
      </c>
    </row>
    <row r="7" spans="1:12" ht="15.75" customHeight="1" x14ac:dyDescent="0.3">
      <c r="A7" s="2" t="s">
        <v>3</v>
      </c>
      <c r="B7" s="3" t="s">
        <v>143</v>
      </c>
      <c r="C7" s="3" t="s">
        <v>164</v>
      </c>
      <c r="D7" s="13">
        <f>grideasting(B7,C7,A7)</f>
        <v>75026.204136866014</v>
      </c>
      <c r="E7" s="4">
        <f>gridnorthing(B7,C7,A7)</f>
        <v>396914.87564936932</v>
      </c>
      <c r="F7" s="8">
        <f>gridzone(B7,C7,A7)</f>
        <v>1</v>
      </c>
      <c r="G7" s="8" t="str">
        <f>GridGridCon(B7,C7,A7)</f>
        <v>0 03 04.70</v>
      </c>
      <c r="H7" s="9">
        <f>GridPntScleFact(B7,C7,A7)</f>
        <v>1.0000049890891283</v>
      </c>
      <c r="I7" s="5" t="str">
        <f>datumlat(D7,E7,F7,A7)</f>
        <v>-21 49 09.57157</v>
      </c>
      <c r="J7" s="5" t="str">
        <f>datumlong(D7,E7,F7,A7)</f>
        <v>115 23 39.66157</v>
      </c>
      <c r="K7" s="10">
        <f>DatumPntScle(D7,E7,F7,A7)</f>
        <v>1.0000049890891283</v>
      </c>
      <c r="L7" s="11" t="str">
        <f>DatumGridConv(D7,E7,F7,A7)</f>
        <v>0 03 04.70</v>
      </c>
    </row>
    <row r="8" spans="1:12" ht="15.75" customHeight="1" x14ac:dyDescent="0.3">
      <c r="A8" s="2" t="s">
        <v>4</v>
      </c>
      <c r="B8" s="3" t="s">
        <v>144</v>
      </c>
      <c r="C8" s="3" t="s">
        <v>165</v>
      </c>
      <c r="D8" s="13">
        <f>grideasting(B8,C8,A8)</f>
        <v>36842.78231252078</v>
      </c>
      <c r="E8" s="4">
        <f>gridnorthing(B8,C8,A8)</f>
        <v>308568.04347882234</v>
      </c>
      <c r="F8" s="8">
        <f>gridzone(B8,C8,A8)</f>
        <v>1</v>
      </c>
      <c r="G8" s="8" t="str">
        <f>GridGridCon(B8,C8,A8)</f>
        <v>-1 02 18.24</v>
      </c>
      <c r="H8" s="9">
        <f>GridPntScleFact(B8,C8,A8)</f>
        <v>1.0000051192953217</v>
      </c>
      <c r="I8" s="5" t="str">
        <f>datumlat(D8,E8,F8,A8)</f>
        <v>-19 00 14.30101</v>
      </c>
      <c r="J8" s="5" t="str">
        <f>datumlong(D8,E8,F8,A8)</f>
        <v>122 12 32.74179</v>
      </c>
      <c r="K8" s="10">
        <f>DatumPntScle(D8,E8,F8,A8)</f>
        <v>1.0000051192953217</v>
      </c>
      <c r="L8" s="11" t="str">
        <f>DatumGridConv(D8,E8,F8,A8)</f>
        <v>-1 02 18.24</v>
      </c>
    </row>
    <row r="9" spans="1:12" ht="15.75" customHeight="1" x14ac:dyDescent="0.3">
      <c r="A9" s="2" t="s">
        <v>5</v>
      </c>
      <c r="B9" s="3" t="s">
        <v>145</v>
      </c>
      <c r="C9" s="3" t="s">
        <v>166</v>
      </c>
      <c r="D9" s="13">
        <f>grideasting(B9,C9,A9)</f>
        <v>51836.014319816837</v>
      </c>
      <c r="E9" s="4">
        <f>gridnorthing(B9,C9,A9)</f>
        <v>299524.52834455855</v>
      </c>
      <c r="F9" s="8">
        <f>gridzone(B9,C9,A9)</f>
        <v>1</v>
      </c>
      <c r="G9" s="8" t="str">
        <f>GridGridCon(B9,C9,A9)</f>
        <v>0 00 27.49</v>
      </c>
      <c r="H9" s="9">
        <f>GridPntScleFact(B9,C9,A9)</f>
        <v>0.99999800161253793</v>
      </c>
      <c r="I9" s="5" t="str">
        <f>datumlat(D9,E9,F9,A9)</f>
        <v>-25 51 33.88264</v>
      </c>
      <c r="J9" s="5" t="str">
        <f>datumlong(D9,E9,F9,A9)</f>
        <v>113 41 05.40036</v>
      </c>
      <c r="K9" s="10">
        <f>DatumPntScle(D9,E9,F9,A9)</f>
        <v>0.99999800161253793</v>
      </c>
      <c r="L9" s="11" t="str">
        <f>DatumGridConv(D9,E9,F9,A9)</f>
        <v>0 00 27.49</v>
      </c>
    </row>
    <row r="10" spans="1:12" ht="15.75" customHeight="1" x14ac:dyDescent="0.3">
      <c r="A10" s="2" t="s">
        <v>19</v>
      </c>
      <c r="B10" s="3" t="s">
        <v>146</v>
      </c>
      <c r="C10" s="3" t="s">
        <v>167</v>
      </c>
      <c r="D10" s="13">
        <f>grideasting(B10,C10,A10)</f>
        <v>57244.545121072792</v>
      </c>
      <c r="E10" s="4">
        <f>gridnorthing(B10,C10,A10)</f>
        <v>243201.18275029841</v>
      </c>
      <c r="F10" s="8">
        <f>gridzone(B10,C10,A10)</f>
        <v>1</v>
      </c>
      <c r="G10" s="8" t="str">
        <f>GridGridCon(B10,C10,A10)</f>
        <v>0 00 43.25</v>
      </c>
      <c r="H10" s="9">
        <f>GridPntScleFact(B10,C10,A10)</f>
        <v>1.000025789111217</v>
      </c>
      <c r="I10" s="5" t="str">
        <f>datumlat(D10,E10,F10,A10)</f>
        <v>-11 27 37.10201</v>
      </c>
      <c r="J10" s="5" t="str">
        <f>datumlong(D10,E10,F10,A10)</f>
        <v>105 41 28.21094</v>
      </c>
      <c r="K10" s="10">
        <f>DatumPntScle(D10,E10,F10,A10)</f>
        <v>1.000025789111217</v>
      </c>
      <c r="L10" s="11" t="str">
        <f>DatumGridConv(D10,E10,F10,A10)</f>
        <v>0 00 43.25</v>
      </c>
    </row>
    <row r="11" spans="1:12" ht="15.75" customHeight="1" x14ac:dyDescent="0.3">
      <c r="A11" s="2" t="s">
        <v>20</v>
      </c>
      <c r="B11" s="3" t="s">
        <v>147</v>
      </c>
      <c r="C11" s="3" t="s">
        <v>168</v>
      </c>
      <c r="D11" s="13">
        <f>grideasting(B11,C11,A11)</f>
        <v>45535.747314240689</v>
      </c>
      <c r="E11" s="4">
        <f>gridnorthing(B11,C11,A11)</f>
        <v>252088.35109252925</v>
      </c>
      <c r="F11" s="8">
        <f>gridzone(B11,C11,A11)</f>
        <v>1</v>
      </c>
      <c r="G11" s="8" t="str">
        <f>GridGridCon(B11,C11,A11)</f>
        <v>-1 00 31.18</v>
      </c>
      <c r="H11" s="9">
        <f>GridPntScleFact(B11,C11,A11)</f>
        <v>0.99999411645658109</v>
      </c>
      <c r="I11" s="5" t="str">
        <f>datumlat(D11,E11,F11,A11)</f>
        <v>-13 11 18.03578</v>
      </c>
      <c r="J11" s="5" t="str">
        <f>datumlong(D11,E11,F11,A11)</f>
        <v>96 50 02.32078</v>
      </c>
      <c r="K11" s="10">
        <f>DatumPntScle(D11,E11,F11,A11)</f>
        <v>0.99999411645658132</v>
      </c>
      <c r="L11" s="11" t="str">
        <f>DatumGridConv(D11,E11,F11,A11)</f>
        <v>-1 00 31.18</v>
      </c>
    </row>
    <row r="12" spans="1:12" ht="15.75" customHeight="1" x14ac:dyDescent="0.3">
      <c r="A12" s="2" t="s">
        <v>6</v>
      </c>
      <c r="B12" s="3" t="s">
        <v>148</v>
      </c>
      <c r="C12" s="3" t="s">
        <v>169</v>
      </c>
      <c r="D12" s="13">
        <f>grideasting(B12,C12,A12)</f>
        <v>42800.706585075714</v>
      </c>
      <c r="E12" s="4">
        <f>gridnorthing(B12,C12,A12)</f>
        <v>342962.55476476857</v>
      </c>
      <c r="F12" s="8">
        <f>gridzone(B12,C12,A12)</f>
        <v>1</v>
      </c>
      <c r="G12" s="8" t="str">
        <f>GridGridCon(B12,C12,A12)</f>
        <v>0 01 00.89</v>
      </c>
      <c r="H12" s="9">
        <f>GridPntScleFact(B12,C12,A12)</f>
        <v>1.0000190966522484</v>
      </c>
      <c r="I12" s="5" t="str">
        <f>datumlat(D12,E12,F12,A12)</f>
        <v>-34 56 22.68614</v>
      </c>
      <c r="J12" s="5" t="str">
        <f>datumlong(D12,E12,F12,A12)</f>
        <v>115 57 49.05725</v>
      </c>
      <c r="K12" s="10">
        <f>DatumPntScle(D12,E12,F12,A12)</f>
        <v>1.0000190966522484</v>
      </c>
      <c r="L12" s="11" t="str">
        <f>DatumGridConv(D12,E12,F12,A12)</f>
        <v>0 01 00.89</v>
      </c>
    </row>
    <row r="13" spans="1:12" ht="15.75" customHeight="1" x14ac:dyDescent="0.3">
      <c r="A13" s="2" t="s">
        <v>7</v>
      </c>
      <c r="B13" s="3" t="s">
        <v>149</v>
      </c>
      <c r="C13" s="3" t="s">
        <v>170</v>
      </c>
      <c r="D13" s="13">
        <f>grideasting(B13,C13,A13)</f>
        <v>51471.200505418943</v>
      </c>
      <c r="E13" s="4">
        <f>gridnorthing(B13,C13,A13)</f>
        <v>356188.98967923829</v>
      </c>
      <c r="F13" s="8">
        <f>gridzone(B13,C13,A13)</f>
        <v>1</v>
      </c>
      <c r="G13" s="8" t="str">
        <f>GridGridCon(B13,C13,A13)</f>
        <v>0 00 31.30</v>
      </c>
      <c r="H13" s="9">
        <f>GridPntScleFact(B13,C13,A13)</f>
        <v>1.0000055266734855</v>
      </c>
      <c r="I13" s="5" t="str">
        <f>datumlat(D13,E13,F13,A13)</f>
        <v>-34 22 12.21651</v>
      </c>
      <c r="J13" s="5" t="str">
        <f>datumlong(D13,E13,F13,A13)</f>
        <v>121 53 56.91197</v>
      </c>
      <c r="K13" s="10">
        <f>DatumPntScle(D13,E13,F13,A13)</f>
        <v>1.0000055266734855</v>
      </c>
      <c r="L13" s="11" t="str">
        <f>DatumGridConv(D13,E13,F13,A13)</f>
        <v>0 00 31.30</v>
      </c>
    </row>
    <row r="14" spans="1:12" ht="15.75" customHeight="1" x14ac:dyDescent="0.3">
      <c r="A14" s="2" t="s">
        <v>8</v>
      </c>
      <c r="B14" s="3" t="s">
        <v>150</v>
      </c>
      <c r="C14" s="3" t="s">
        <v>171</v>
      </c>
      <c r="D14" s="13">
        <f>grideasting(B14,C14,A14)</f>
        <v>36205.287774120807</v>
      </c>
      <c r="E14" s="4">
        <f>gridnorthing(B14,C14,A14)</f>
        <v>318804.30567216873</v>
      </c>
      <c r="F14" s="8">
        <f>gridzone(B14,C14,A14)</f>
        <v>1</v>
      </c>
      <c r="G14" s="8" t="str">
        <f>GridGridCon(B14,C14,A14)</f>
        <v>-1 02 59.94</v>
      </c>
      <c r="H14" s="9">
        <f>GridPntScleFact(B14,C14,A14)</f>
        <v>1.0000047102235339</v>
      </c>
      <c r="I14" s="5" t="str">
        <f>datumlat(D14,E14,F14,A14)</f>
        <v>-22 58 34.93247</v>
      </c>
      <c r="J14" s="5" t="str">
        <f>datumlong(D14,E14,F14,A14)</f>
        <v>113 55 59.15980</v>
      </c>
      <c r="K14" s="10">
        <f>DatumPntScle(D14,E14,F14,A14)</f>
        <v>1.0000047102235339</v>
      </c>
      <c r="L14" s="11" t="str">
        <f>DatumGridConv(D14,E14,F14,A14)</f>
        <v>-1 02 59.94</v>
      </c>
    </row>
    <row r="15" spans="1:12" ht="15.75" customHeight="1" x14ac:dyDescent="0.3">
      <c r="A15" s="2" t="s">
        <v>9</v>
      </c>
      <c r="B15" s="3" t="s">
        <v>151</v>
      </c>
      <c r="C15" s="3" t="s">
        <v>172</v>
      </c>
      <c r="D15" s="13">
        <f>grideasting(B15,C15,A15)</f>
        <v>53060.538977878503</v>
      </c>
      <c r="E15" s="4">
        <f>gridnorthing(B15,C15,A15)</f>
        <v>265149.05894622998</v>
      </c>
      <c r="F15" s="8">
        <f>gridzone(B15,C15,A15)</f>
        <v>1</v>
      </c>
      <c r="G15" s="8" t="str">
        <f>GridGridCon(B15,C15,A15)</f>
        <v>0 00 54.32</v>
      </c>
      <c r="H15" s="9">
        <f>GridPntScleFact(B15,C15,A15)</f>
        <v>1.0000063955430265</v>
      </c>
      <c r="I15" s="5" t="str">
        <f>datumlat(D15,E15,F15,A15)</f>
        <v>-29 46 46.20322</v>
      </c>
      <c r="J15" s="5" t="str">
        <f>datumlong(D15,E15,F15,A15)</f>
        <v>114 36 52.83602</v>
      </c>
      <c r="K15" s="10">
        <f>DatumPntScle(D15,E15,F15,A15)</f>
        <v>1.0000063955430265</v>
      </c>
      <c r="L15" s="11" t="str">
        <f>DatumGridConv(D15,E15,F15,A15)</f>
        <v>0 00 54.32</v>
      </c>
    </row>
    <row r="16" spans="1:12" ht="15.75" customHeight="1" x14ac:dyDescent="0.3">
      <c r="A16" s="2" t="s">
        <v>10</v>
      </c>
      <c r="B16" s="3" t="s">
        <v>152</v>
      </c>
      <c r="C16" s="3" t="s">
        <v>173</v>
      </c>
      <c r="D16" s="13">
        <f>grideasting(B16,C16,A16)</f>
        <v>60749.353492408038</v>
      </c>
      <c r="E16" s="4">
        <f>gridnorthing(B16,C16,A16)</f>
        <v>385966.46347103966</v>
      </c>
      <c r="F16" s="8">
        <f>gridzone(B16,C16,A16)</f>
        <v>1</v>
      </c>
      <c r="G16" s="8" t="str">
        <f>GridGridCon(B16,C16,A16)</f>
        <v>0 00 14.46</v>
      </c>
      <c r="H16" s="9">
        <f>GridPntScleFact(B16,C16,A16)</f>
        <v>1.0000494969234321</v>
      </c>
      <c r="I16" s="5" t="str">
        <f>datumlat(D16,E16,F16,A16)</f>
        <v>-31 50 44.42871</v>
      </c>
      <c r="J16" s="5" t="str">
        <f>datumlong(D16,E16,F16,A16)</f>
        <v>121 30 28.19991</v>
      </c>
      <c r="K16" s="10">
        <f>DatumPntScle(D16,E16,F16,A16)</f>
        <v>1.0000494969234324</v>
      </c>
      <c r="L16" s="11" t="str">
        <f>DatumGridConv(D16,E16,F16,A16)</f>
        <v>0 00 14.46</v>
      </c>
    </row>
    <row r="17" spans="1:12" ht="15.75" customHeight="1" x14ac:dyDescent="0.3">
      <c r="A17" s="2" t="s">
        <v>11</v>
      </c>
      <c r="B17" s="3" t="s">
        <v>153</v>
      </c>
      <c r="C17" s="3" t="s">
        <v>174</v>
      </c>
      <c r="D17" s="13">
        <f>grideasting(B17,C17,A17)</f>
        <v>58837.850275578472</v>
      </c>
      <c r="E17" s="4">
        <f>gridnorthing(B17,C17,A17)</f>
        <v>296734.66112685762</v>
      </c>
      <c r="F17" s="8">
        <f>gridzone(B17,C17,A17)</f>
        <v>1</v>
      </c>
      <c r="G17" s="8" t="str">
        <f>GridGridCon(B17,C17,A17)</f>
        <v>0 02 46.86</v>
      </c>
      <c r="H17" s="9">
        <f>GridPntScleFact(B17,C17,A17)</f>
        <v>1.0000041031859286</v>
      </c>
      <c r="I17" s="5" t="str">
        <f>datumlat(D17,E17,F17,A17)</f>
        <v>-31 17 56.14676</v>
      </c>
      <c r="J17" s="5" t="str">
        <f>datumlong(D17,E17,F17,A17)</f>
        <v>115 04 30.74372</v>
      </c>
      <c r="K17" s="10">
        <f>DatumPntScle(D17,E17,F17,A17)</f>
        <v>1.0000041031859284</v>
      </c>
      <c r="L17" s="11" t="str">
        <f>DatumGridConv(D17,E17,F17,A17)</f>
        <v>0 02 46.86</v>
      </c>
    </row>
    <row r="18" spans="1:12" ht="15.75" customHeight="1" x14ac:dyDescent="0.3">
      <c r="A18" s="2" t="s">
        <v>12</v>
      </c>
      <c r="B18" s="3" t="s">
        <v>154</v>
      </c>
      <c r="C18" s="3" t="s">
        <v>175</v>
      </c>
      <c r="D18" s="13">
        <f>grideasting(B18,C18,A18)</f>
        <v>26435.623934862593</v>
      </c>
      <c r="E18" s="4">
        <f>gridnorthing(B18,C18,A18)</f>
        <v>682101.70557887526</v>
      </c>
      <c r="F18" s="8">
        <f>gridzone(B18,C18,A18)</f>
        <v>1</v>
      </c>
      <c r="G18" s="8" t="str">
        <f>GridGridCon(B18,C18,A18)</f>
        <v>-1 07 55.88</v>
      </c>
      <c r="H18" s="9">
        <f>GridPntScleFact(B18,C18,A18)</f>
        <v>1.0000240675036451</v>
      </c>
      <c r="I18" s="5" t="str">
        <f>datumlat(D18,E18,F18,A18)</f>
        <v>-28 16 20.94329</v>
      </c>
      <c r="J18" s="5" t="str">
        <f>datumlong(D18,E18,F18,A18)</f>
        <v>114 01 36.46503</v>
      </c>
      <c r="K18" s="10">
        <f>DatumPntScle(D18,E18,F18,A18)</f>
        <v>1.0000240675036451</v>
      </c>
      <c r="L18" s="11" t="str">
        <f>DatumGridConv(D18,E18,F18,A18)</f>
        <v>-1 07 55.88</v>
      </c>
    </row>
    <row r="19" spans="1:12" ht="15.75" customHeight="1" x14ac:dyDescent="0.3">
      <c r="A19" s="2" t="s">
        <v>13</v>
      </c>
      <c r="B19" s="3" t="s">
        <v>155</v>
      </c>
      <c r="C19" s="3" t="s">
        <v>176</v>
      </c>
      <c r="D19" s="13">
        <f>grideasting(B19,C19,A19)</f>
        <v>38357.638770312231</v>
      </c>
      <c r="E19" s="4">
        <f>gridnorthing(B19,C19,A19)</f>
        <v>256045.21969930222</v>
      </c>
      <c r="F19" s="8">
        <f>gridzone(B19,C19,A19)</f>
        <v>1</v>
      </c>
      <c r="G19" s="8" t="str">
        <f>GridGridCon(B19,C19,A19)</f>
        <v>-1 02 22.49</v>
      </c>
      <c r="H19" s="9">
        <f>GridPntScleFact(B19,C19,A19)</f>
        <v>1.0000005743755216</v>
      </c>
      <c r="I19" s="5" t="str">
        <f>datumlat(D19,E19,F19,A19)</f>
        <v>-21 44 13.02258</v>
      </c>
      <c r="J19" s="5" t="str">
        <f>datumlong(D19,E19,F19,A19)</f>
        <v>116 49 17.58104</v>
      </c>
      <c r="K19" s="10">
        <f>DatumPntScle(D19,E19,F19,A19)</f>
        <v>1.0000005743755218</v>
      </c>
      <c r="L19" s="11" t="str">
        <f>DatumGridConv(D19,E19,F19,A19)</f>
        <v>-1 02 22.49</v>
      </c>
    </row>
    <row r="20" spans="1:12" ht="15.75" customHeight="1" x14ac:dyDescent="0.3">
      <c r="A20" s="2" t="s">
        <v>14</v>
      </c>
      <c r="B20" s="3" t="s">
        <v>156</v>
      </c>
      <c r="C20" s="3" t="s">
        <v>177</v>
      </c>
      <c r="D20" s="13">
        <f>grideasting(B20,C20,A20)</f>
        <v>54269.551231121477</v>
      </c>
      <c r="E20" s="4">
        <f>gridnorthing(B20,C20,A20)</f>
        <v>342672.67833085661</v>
      </c>
      <c r="F20" s="8">
        <f>gridzone(B20,C20,A20)</f>
        <v>1</v>
      </c>
      <c r="G20" s="8" t="str">
        <f>GridGridCon(B20,C20,A20)</f>
        <v>0 00 39.29</v>
      </c>
      <c r="H20" s="9">
        <f>GridPntScleFact(B20,C20,A20)</f>
        <v>1.0000167253309413</v>
      </c>
      <c r="I20" s="5" t="str">
        <f>datumlat(D20,E20,F20,A20)</f>
        <v>-16 53 18.37443</v>
      </c>
      <c r="J20" s="5" t="str">
        <f>datumlong(D20,E20,F20,A20)</f>
        <v>128 47 23.52056</v>
      </c>
      <c r="K20" s="10">
        <f>DatumPntScle(D20,E20,F20,A20)</f>
        <v>1.0000167253309411</v>
      </c>
      <c r="L20" s="11" t="str">
        <f>DatumGridConv(D20,E20,F20,A20)</f>
        <v>0 00 39.29</v>
      </c>
    </row>
    <row r="21" spans="1:12" ht="15.75" customHeight="1" x14ac:dyDescent="0.3">
      <c r="A21" s="2" t="s">
        <v>15</v>
      </c>
      <c r="B21" s="3" t="s">
        <v>157</v>
      </c>
      <c r="C21" s="3" t="s">
        <v>178</v>
      </c>
      <c r="D21" s="13" t="e">
        <f>[1]!grideasting(B21,C21,A21)</f>
        <v>#VALUE!</v>
      </c>
      <c r="E21" s="4" t="e">
        <f>[1]!gridnorthing(B21,C21,A21)</f>
        <v>#VALUE!</v>
      </c>
      <c r="F21" s="8" t="e">
        <f>[1]!gridzone(B21,C21,A21)</f>
        <v>#VALUE!</v>
      </c>
      <c r="G21" s="8" t="e">
        <f>[1]!GridGridCon(B21,C21,A21)</f>
        <v>#VALUE!</v>
      </c>
      <c r="H21" s="9" t="e">
        <f>[1]!GridPntScleFact(B21,C21,A21)</f>
        <v>#VALUE!</v>
      </c>
      <c r="I21" s="5" t="e">
        <f>[1]!datumlat(D21,E21,F21,A21)</f>
        <v>#VALUE!</v>
      </c>
      <c r="J21" s="5" t="e">
        <f>[1]!datumlong(D21,E21,F21,A21)</f>
        <v>#VALUE!</v>
      </c>
      <c r="K21" s="10" t="e">
        <f>[1]!DatumPntScle(D21,E21,F21,A21)</f>
        <v>#VALUE!</v>
      </c>
      <c r="L21" s="11" t="e">
        <f>[1]!DatumGridConv(D21,E21,F21,A21)</f>
        <v>#VALUE!</v>
      </c>
    </row>
    <row r="22" spans="1:12" ht="15.75" customHeight="1" x14ac:dyDescent="0.3">
      <c r="A22" s="2" t="s">
        <v>16</v>
      </c>
      <c r="B22" s="3" t="s">
        <v>158</v>
      </c>
      <c r="C22" s="3" t="s">
        <v>179</v>
      </c>
      <c r="D22" s="13" t="e">
        <f>[1]!grideasting(B22,C22,A22)</f>
        <v>#VALUE!</v>
      </c>
      <c r="E22" s="4" t="e">
        <f>[1]!gridnorthing(B22,C22,A22)</f>
        <v>#VALUE!</v>
      </c>
      <c r="F22" s="8" t="e">
        <f>[1]!gridzone(B22,C22,A22)</f>
        <v>#VALUE!</v>
      </c>
      <c r="G22" s="8" t="e">
        <f>[1]!GridGridCon(B22,C22,A22)</f>
        <v>#VALUE!</v>
      </c>
      <c r="H22" s="9" t="e">
        <f>[1]!GridPntScleFact(B22,C22,A22)</f>
        <v>#VALUE!</v>
      </c>
      <c r="I22" s="5" t="e">
        <f>[1]!datumlat(D22,E22,F22,A22)</f>
        <v>#VALUE!</v>
      </c>
      <c r="J22" s="5" t="e">
        <f>[1]!datumlong(D22,E22,F22,A22)</f>
        <v>#VALUE!</v>
      </c>
      <c r="K22" s="10" t="e">
        <f>[1]!DatumPntScle(D22,E22,F22,A22)</f>
        <v>#VALUE!</v>
      </c>
      <c r="L22" s="11" t="e">
        <f>[1]!DatumGridConv(D22,E22,F22,A22)</f>
        <v>#VALUE!</v>
      </c>
    </row>
    <row r="23" spans="1:12" ht="15.75" customHeight="1" x14ac:dyDescent="0.3">
      <c r="A23" s="2" t="s">
        <v>17</v>
      </c>
      <c r="B23" s="3" t="s">
        <v>159</v>
      </c>
      <c r="C23" s="3" t="s">
        <v>180</v>
      </c>
      <c r="D23" s="13" t="e">
        <f>[1]!grideasting(B23,C23,A23)</f>
        <v>#VALUE!</v>
      </c>
      <c r="E23" s="4" t="e">
        <f>[1]!gridnorthing(B23,C23,A23)</f>
        <v>#VALUE!</v>
      </c>
      <c r="F23" s="8" t="e">
        <f>[1]!gridzone(B23,C23,A23)</f>
        <v>#VALUE!</v>
      </c>
      <c r="G23" s="8" t="e">
        <f>[1]!GridGridCon(B23,C23,A23)</f>
        <v>#VALUE!</v>
      </c>
      <c r="H23" s="9" t="e">
        <f>[1]!GridPntScleFact(B23,C23,A23)</f>
        <v>#VALUE!</v>
      </c>
      <c r="I23" s="5" t="e">
        <f>[1]!datumlat(D23,E23,F23,A23)</f>
        <v>#VALUE!</v>
      </c>
      <c r="J23" s="5" t="e">
        <f>[1]!datumlong(D23,E23,F23,A23)</f>
        <v>#VALUE!</v>
      </c>
      <c r="K23" s="10" t="e">
        <f>[1]!DatumPntScle(D23,E23,F23,A23)</f>
        <v>#VALUE!</v>
      </c>
      <c r="L23" s="11" t="e">
        <f>[1]!DatumGridConv(D23,E23,F23,A23)</f>
        <v>#VALUE!</v>
      </c>
    </row>
    <row r="24" spans="1:12" ht="15.75" customHeight="1" thickBot="1" x14ac:dyDescent="0.35">
      <c r="A24" s="2" t="s">
        <v>18</v>
      </c>
      <c r="B24" s="3" t="s">
        <v>160</v>
      </c>
      <c r="C24" s="3" t="s">
        <v>181</v>
      </c>
      <c r="D24" s="13" t="e">
        <f>[1]!grideasting(B24,C24,A24)</f>
        <v>#VALUE!</v>
      </c>
      <c r="E24" s="4" t="e">
        <f>[1]!gridnorthing(B24,C24,A24)</f>
        <v>#VALUE!</v>
      </c>
      <c r="F24" s="8" t="e">
        <f>[1]!gridzone(B24,C24,A24)</f>
        <v>#VALUE!</v>
      </c>
      <c r="G24" s="8" t="e">
        <f>[1]!GridGridCon(B24,C24,A24)</f>
        <v>#VALUE!</v>
      </c>
      <c r="H24" s="9" t="e">
        <f>[1]!GridPntScleFact(B24,C24,A24)</f>
        <v>#VALUE!</v>
      </c>
      <c r="I24" s="5" t="e">
        <f>[1]!datumlat(D24,E24,F24,A24)</f>
        <v>#VALUE!</v>
      </c>
      <c r="J24" s="5" t="e">
        <f>[1]!datumlong(D24,E24,F24,A24)</f>
        <v>#VALUE!</v>
      </c>
      <c r="K24" s="10" t="e">
        <f>[1]!DatumPntScle(D24,E24,F24,A24)</f>
        <v>#VALUE!</v>
      </c>
      <c r="L24" s="11" t="e">
        <f>[1]!DatumGridConv(D24,E24,F24,A24)</f>
        <v>#VALUE!</v>
      </c>
    </row>
    <row r="25" spans="1:12" ht="15" thickBot="1" x14ac:dyDescent="0.35">
      <c r="A25" s="41" t="s">
        <v>139</v>
      </c>
      <c r="B25" s="33" t="s">
        <v>45</v>
      </c>
      <c r="C25" s="33" t="s">
        <v>46</v>
      </c>
      <c r="D25" s="34" t="e">
        <f>[1]!grideasting(B25,C25,A25)</f>
        <v>#VALUE!</v>
      </c>
      <c r="E25" s="35" t="e">
        <f>[1]!gridnorthing(B25,C25,A25)</f>
        <v>#VALUE!</v>
      </c>
      <c r="F25" s="36" t="e">
        <f>[1]!gridzone(B25,C25,A25)</f>
        <v>#VALUE!</v>
      </c>
      <c r="G25" s="36" t="e">
        <f>[1]!GridGridCon(B25,C25,A25)</f>
        <v>#VALUE!</v>
      </c>
      <c r="H25" s="37" t="e">
        <f>[1]!GridPntScleFact(B25,C25,A25)</f>
        <v>#VALUE!</v>
      </c>
      <c r="I25" s="38" t="e">
        <f>[1]!datumlat(D25,E25,F25,A25)</f>
        <v>#VALUE!</v>
      </c>
      <c r="J25" s="38" t="e">
        <f>[1]!datumlong(D25,E25,F25,A25)</f>
        <v>#VALUE!</v>
      </c>
      <c r="K25" s="39" t="e">
        <f>[1]!DatumPntScle(D25,E25,F25,A25)</f>
        <v>#VALUE!</v>
      </c>
      <c r="L25" s="40" t="e">
        <f>[1]!DatumGridConv(D25,E25,F25,A25)</f>
        <v>#VALUE!</v>
      </c>
    </row>
    <row r="26" spans="1:12" x14ac:dyDescent="0.3">
      <c r="A26" s="2" t="s">
        <v>61</v>
      </c>
      <c r="B26" s="3" t="s">
        <v>21</v>
      </c>
      <c r="C26" s="3" t="s">
        <v>22</v>
      </c>
      <c r="D26" s="13" t="e">
        <f>[1]!grideasting(B26,C26,A26)</f>
        <v>#VALUE!</v>
      </c>
      <c r="E26" s="4" t="e">
        <f>[1]!gridnorthing(B26,C26,A26)</f>
        <v>#VALUE!</v>
      </c>
      <c r="F26" s="8" t="e">
        <f>[1]!gridzone(B26,C26,A26)</f>
        <v>#VALUE!</v>
      </c>
      <c r="G26" s="8" t="e">
        <f>[1]!GridGridCon(B26,C26,A26)</f>
        <v>#VALUE!</v>
      </c>
      <c r="H26" s="9" t="e">
        <f>[1]!GridPntScleFact(B26,C26,A26)</f>
        <v>#VALUE!</v>
      </c>
      <c r="I26" s="5" t="e">
        <f>[1]!datumlat(D26,E26,F26,A26)</f>
        <v>#VALUE!</v>
      </c>
      <c r="J26" s="5" t="e">
        <f>[1]!datumlong(D26,E26,F26,A26)</f>
        <v>#VALUE!</v>
      </c>
      <c r="K26" s="10" t="e">
        <f>[1]!DatumPntScle(D26,E26,F26,A26)</f>
        <v>#VALUE!</v>
      </c>
      <c r="L26" s="11" t="e">
        <f>[1]!DatumGridConv(D26,E26,F26,A26)</f>
        <v>#VALUE!</v>
      </c>
    </row>
    <row r="27" spans="1:12" x14ac:dyDescent="0.3">
      <c r="A27" s="2" t="s">
        <v>62</v>
      </c>
      <c r="B27" s="3" t="s">
        <v>27</v>
      </c>
      <c r="C27" s="3" t="s">
        <v>28</v>
      </c>
      <c r="D27" s="13" t="e">
        <f>[1]!grideasting(B27,C27,A27)</f>
        <v>#VALUE!</v>
      </c>
      <c r="E27" s="4" t="e">
        <f>[1]!gridnorthing(B27,C27,A27)</f>
        <v>#VALUE!</v>
      </c>
      <c r="F27" s="8" t="e">
        <f>[1]!gridzone(B27,C27,A27)</f>
        <v>#VALUE!</v>
      </c>
      <c r="G27" s="8" t="e">
        <f>[1]!GridGridCon(B27,C27,A27)</f>
        <v>#VALUE!</v>
      </c>
      <c r="H27" s="9" t="e">
        <f>[1]!GridPntScleFact(B27,C27,A27)</f>
        <v>#VALUE!</v>
      </c>
      <c r="I27" s="5" t="e">
        <f>[1]!datumlat(D27,E27,F27,A27)</f>
        <v>#VALUE!</v>
      </c>
      <c r="J27" s="5" t="e">
        <f>[1]!datumlong(D27,E27,F27,A27)</f>
        <v>#VALUE!</v>
      </c>
      <c r="K27" s="10" t="e">
        <f>[1]!DatumPntScle(D27,E27,F27,A27)</f>
        <v>#VALUE!</v>
      </c>
      <c r="L27" s="11" t="e">
        <f>[1]!DatumGridConv(D27,E27,F27,A27)</f>
        <v>#VALUE!</v>
      </c>
    </row>
    <row r="28" spans="1:12" x14ac:dyDescent="0.3">
      <c r="A28" s="2" t="s">
        <v>63</v>
      </c>
      <c r="B28" s="3" t="s">
        <v>57</v>
      </c>
      <c r="C28" s="3" t="s">
        <v>58</v>
      </c>
      <c r="D28" s="13" t="e">
        <f>[1]!grideasting(B28,C28,A28)</f>
        <v>#VALUE!</v>
      </c>
      <c r="E28" s="4" t="e">
        <f>[1]!gridnorthing(B28,C28,A28)</f>
        <v>#VALUE!</v>
      </c>
      <c r="F28" s="8" t="e">
        <f>[1]!gridzone(B28,C28,A28)</f>
        <v>#VALUE!</v>
      </c>
      <c r="G28" s="8" t="e">
        <f>[1]!GridGridCon(B28,C28,A28)</f>
        <v>#VALUE!</v>
      </c>
      <c r="H28" s="9" t="e">
        <f>[1]!GridPntScleFact(B28,C28,A28)</f>
        <v>#VALUE!</v>
      </c>
      <c r="I28" s="5" t="e">
        <f>[1]!datumlat(D28,E28,F28,A28)</f>
        <v>#VALUE!</v>
      </c>
      <c r="J28" s="5" t="e">
        <f>[1]!datumlong(D28,E28,F28,A28)</f>
        <v>#VALUE!</v>
      </c>
      <c r="K28" s="10" t="e">
        <f>[1]!DatumPntScle(D28,E28,F28,A28)</f>
        <v>#VALUE!</v>
      </c>
      <c r="L28" s="11" t="e">
        <f>[1]!DatumGridConv(D28,E28,F28,A28)</f>
        <v>#VALUE!</v>
      </c>
    </row>
    <row r="29" spans="1:12" x14ac:dyDescent="0.3">
      <c r="A29" s="2" t="s">
        <v>64</v>
      </c>
      <c r="B29" s="3" t="s">
        <v>23</v>
      </c>
      <c r="C29" s="3" t="s">
        <v>24</v>
      </c>
      <c r="D29" s="13" t="e">
        <f>[1]!grideasting(B29,C29,A29)</f>
        <v>#VALUE!</v>
      </c>
      <c r="E29" s="4" t="e">
        <f>[1]!gridnorthing(B29,C29,A29)</f>
        <v>#VALUE!</v>
      </c>
      <c r="F29" s="8" t="e">
        <f>[1]!gridzone(B29,C29,A29)</f>
        <v>#VALUE!</v>
      </c>
      <c r="G29" s="8" t="e">
        <f>[1]!GridGridCon(B29,C29,A29)</f>
        <v>#VALUE!</v>
      </c>
      <c r="H29" s="9" t="e">
        <f>[1]!GridPntScleFact(B29,C29,A29)</f>
        <v>#VALUE!</v>
      </c>
      <c r="I29" s="5" t="e">
        <f>[1]!datumlat(D29,E29,F29,A29)</f>
        <v>#VALUE!</v>
      </c>
      <c r="J29" s="5" t="e">
        <f>[1]!datumlong(D29,E29,F29,A29)</f>
        <v>#VALUE!</v>
      </c>
      <c r="K29" s="10" t="e">
        <f>[1]!DatumPntScle(D29,E29,F29,A29)</f>
        <v>#VALUE!</v>
      </c>
      <c r="L29" s="11" t="e">
        <f>[1]!DatumGridConv(D29,E29,F29,A29)</f>
        <v>#VALUE!</v>
      </c>
    </row>
    <row r="30" spans="1:12" x14ac:dyDescent="0.3">
      <c r="A30" s="2" t="s">
        <v>65</v>
      </c>
      <c r="B30" s="3" t="s">
        <v>37</v>
      </c>
      <c r="C30" s="3" t="s">
        <v>38</v>
      </c>
      <c r="D30" s="13" t="e">
        <f>[1]!grideasting(B30,C30,A30)</f>
        <v>#VALUE!</v>
      </c>
      <c r="E30" s="4" t="e">
        <f>[1]!gridnorthing(B30,C30,A30)</f>
        <v>#VALUE!</v>
      </c>
      <c r="F30" s="8" t="e">
        <f>[1]!gridzone(B30,C30,A30)</f>
        <v>#VALUE!</v>
      </c>
      <c r="G30" s="8" t="e">
        <f>[1]!GridGridCon(B30,C30,A30)</f>
        <v>#VALUE!</v>
      </c>
      <c r="H30" s="9" t="e">
        <f>[1]!GridPntScleFact(B30,C30,A30)</f>
        <v>#VALUE!</v>
      </c>
      <c r="I30" s="5" t="e">
        <f>[1]!datumlat(D30,E30,F30,A30)</f>
        <v>#VALUE!</v>
      </c>
      <c r="J30" s="5" t="e">
        <f>[1]!datumlong(D30,E30,F30,A30)</f>
        <v>#VALUE!</v>
      </c>
      <c r="K30" s="10" t="e">
        <f>[1]!DatumPntScle(D30,E30,F30,A30)</f>
        <v>#VALUE!</v>
      </c>
      <c r="L30" s="11" t="e">
        <f>[1]!DatumGridConv(D30,E30,F30,A30)</f>
        <v>#VALUE!</v>
      </c>
    </row>
    <row r="31" spans="1:12" x14ac:dyDescent="0.3">
      <c r="A31" s="2" t="s">
        <v>66</v>
      </c>
      <c r="B31" s="3" t="s">
        <v>31</v>
      </c>
      <c r="C31" s="3" t="s">
        <v>32</v>
      </c>
      <c r="D31" s="13" t="e">
        <f>[1]!grideasting(B31,C31,A31)</f>
        <v>#VALUE!</v>
      </c>
      <c r="E31" s="4" t="e">
        <f>[1]!gridnorthing(B31,C31,A31)</f>
        <v>#VALUE!</v>
      </c>
      <c r="F31" s="8" t="e">
        <f>[1]!gridzone(B31,C31,A31)</f>
        <v>#VALUE!</v>
      </c>
      <c r="G31" s="8" t="e">
        <f>[1]!GridGridCon(B31,C31,A31)</f>
        <v>#VALUE!</v>
      </c>
      <c r="H31" s="9" t="e">
        <f>[1]!GridPntScleFact(B31,C31,A31)</f>
        <v>#VALUE!</v>
      </c>
      <c r="I31" s="5" t="e">
        <f>[1]!datumlat(D31,E31,F31,A31)</f>
        <v>#VALUE!</v>
      </c>
      <c r="J31" s="5" t="e">
        <f>[1]!datumlong(D31,E31,F31,A31)</f>
        <v>#VALUE!</v>
      </c>
      <c r="K31" s="10" t="e">
        <f>[1]!DatumPntScle(D31,E31,F31,A31)</f>
        <v>#VALUE!</v>
      </c>
      <c r="L31" s="11" t="e">
        <f>[1]!DatumGridConv(D31,E31,F31,A31)</f>
        <v>#VALUE!</v>
      </c>
    </row>
    <row r="32" spans="1:12" x14ac:dyDescent="0.3">
      <c r="A32" s="2" t="s">
        <v>67</v>
      </c>
      <c r="B32" s="3" t="s">
        <v>33</v>
      </c>
      <c r="C32" s="3" t="s">
        <v>34</v>
      </c>
      <c r="D32" s="13" t="e">
        <f>[1]!grideasting(B32,C32,A32)</f>
        <v>#VALUE!</v>
      </c>
      <c r="E32" s="4" t="e">
        <f>[1]!gridnorthing(B32,C32,A32)</f>
        <v>#VALUE!</v>
      </c>
      <c r="F32" s="8" t="e">
        <f>[1]!gridzone(B32,C32,A32)</f>
        <v>#VALUE!</v>
      </c>
      <c r="G32" s="8" t="e">
        <f>[1]!GridGridCon(B32,C32,A32)</f>
        <v>#VALUE!</v>
      </c>
      <c r="H32" s="9" t="e">
        <f>[1]!GridPntScleFact(B32,C32,A32)</f>
        <v>#VALUE!</v>
      </c>
      <c r="I32" s="5" t="e">
        <f>[1]!datumlat(D32,E32,F32,A32)</f>
        <v>#VALUE!</v>
      </c>
      <c r="J32" s="5" t="e">
        <f>[1]!datumlong(D32,E32,F32,A32)</f>
        <v>#VALUE!</v>
      </c>
      <c r="K32" s="10" t="e">
        <f>[1]!DatumPntScle(D32,E32,F32,A32)</f>
        <v>#VALUE!</v>
      </c>
      <c r="L32" s="11" t="e">
        <f>[1]!DatumGridConv(D32,E32,F32,A32)</f>
        <v>#VALUE!</v>
      </c>
    </row>
    <row r="33" spans="1:12" x14ac:dyDescent="0.3">
      <c r="A33" s="2" t="s">
        <v>68</v>
      </c>
      <c r="B33" s="3" t="s">
        <v>35</v>
      </c>
      <c r="C33" s="3" t="s">
        <v>36</v>
      </c>
      <c r="D33" s="13" t="e">
        <f>[1]!grideasting(B33,C33,A33)</f>
        <v>#VALUE!</v>
      </c>
      <c r="E33" s="4" t="e">
        <f>[1]!gridnorthing(B33,C33,A33)</f>
        <v>#VALUE!</v>
      </c>
      <c r="F33" s="8" t="e">
        <f>[1]!gridzone(B33,C33,A33)</f>
        <v>#VALUE!</v>
      </c>
      <c r="G33" s="8" t="e">
        <f>[1]!GridGridCon(B33,C33,A33)</f>
        <v>#VALUE!</v>
      </c>
      <c r="H33" s="9" t="e">
        <f>[1]!GridPntScleFact(B33,C33,A33)</f>
        <v>#VALUE!</v>
      </c>
      <c r="I33" s="5" t="e">
        <f>[1]!datumlat(D33,E33,F33,A33)</f>
        <v>#VALUE!</v>
      </c>
      <c r="J33" s="5" t="e">
        <f>[1]!datumlong(D33,E33,F33,A33)</f>
        <v>#VALUE!</v>
      </c>
      <c r="K33" s="10" t="e">
        <f>[1]!DatumPntScle(D33,E33,F33,A33)</f>
        <v>#VALUE!</v>
      </c>
      <c r="L33" s="11" t="e">
        <f>[1]!DatumGridConv(D33,E33,F33,A33)</f>
        <v>#VALUE!</v>
      </c>
    </row>
    <row r="34" spans="1:12" x14ac:dyDescent="0.3">
      <c r="A34" s="2" t="s">
        <v>69</v>
      </c>
      <c r="B34" s="3" t="s">
        <v>41</v>
      </c>
      <c r="C34" s="3" t="s">
        <v>42</v>
      </c>
      <c r="D34" s="13" t="e">
        <f>[1]!grideasting(B34,C34,A34)</f>
        <v>#VALUE!</v>
      </c>
      <c r="E34" s="4" t="e">
        <f>[1]!gridnorthing(B34,C34,A34)</f>
        <v>#VALUE!</v>
      </c>
      <c r="F34" s="8" t="e">
        <f>[1]!gridzone(B34,C34,A34)</f>
        <v>#VALUE!</v>
      </c>
      <c r="G34" s="8" t="e">
        <f>[1]!GridGridCon(B34,C34,A34)</f>
        <v>#VALUE!</v>
      </c>
      <c r="H34" s="9" t="e">
        <f>[1]!GridPntScleFact(B34,C34,A34)</f>
        <v>#VALUE!</v>
      </c>
      <c r="I34" s="5" t="e">
        <f>[1]!datumlat(D34,E34,F34,A34)</f>
        <v>#VALUE!</v>
      </c>
      <c r="J34" s="5" t="e">
        <f>[1]!datumlong(D34,E34,F34,A34)</f>
        <v>#VALUE!</v>
      </c>
      <c r="K34" s="10" t="e">
        <f>[1]!DatumPntScle(D34,E34,F34,A34)</f>
        <v>#VALUE!</v>
      </c>
      <c r="L34" s="11" t="e">
        <f>[1]!DatumGridConv(D34,E34,F34,A34)</f>
        <v>#VALUE!</v>
      </c>
    </row>
    <row r="35" spans="1:12" x14ac:dyDescent="0.3">
      <c r="A35" s="2" t="s">
        <v>70</v>
      </c>
      <c r="B35" s="3" t="s">
        <v>51</v>
      </c>
      <c r="C35" s="3" t="s">
        <v>52</v>
      </c>
      <c r="D35" s="13" t="e">
        <f>[1]!grideasting(B35,C35,A35)</f>
        <v>#VALUE!</v>
      </c>
      <c r="E35" s="4" t="e">
        <f>[1]!gridnorthing(B35,C35,A35)</f>
        <v>#VALUE!</v>
      </c>
      <c r="F35" s="8" t="e">
        <f>[1]!gridzone(B35,C35,A35)</f>
        <v>#VALUE!</v>
      </c>
      <c r="G35" s="8" t="e">
        <f>[1]!GridGridCon(B35,C35,A35)</f>
        <v>#VALUE!</v>
      </c>
      <c r="H35" s="9" t="e">
        <f>[1]!GridPntScleFact(B35,C35,A35)</f>
        <v>#VALUE!</v>
      </c>
      <c r="I35" s="5" t="e">
        <f>[1]!datumlat(D35,E35,F35,A35)</f>
        <v>#VALUE!</v>
      </c>
      <c r="J35" s="5" t="e">
        <f>[1]!datumlong(D35,E35,F35,A35)</f>
        <v>#VALUE!</v>
      </c>
      <c r="K35" s="10" t="e">
        <f>[1]!DatumPntScle(D35,E35,F35,A35)</f>
        <v>#VALUE!</v>
      </c>
      <c r="L35" s="11" t="e">
        <f>[1]!DatumGridConv(D35,E35,F35,A35)</f>
        <v>#VALUE!</v>
      </c>
    </row>
    <row r="36" spans="1:12" x14ac:dyDescent="0.3">
      <c r="A36" s="2" t="s">
        <v>71</v>
      </c>
      <c r="B36" s="3" t="s">
        <v>43</v>
      </c>
      <c r="C36" s="3" t="s">
        <v>44</v>
      </c>
      <c r="D36" s="13" t="e">
        <f>[1]!grideasting(B36,C36,A36)</f>
        <v>#VALUE!</v>
      </c>
      <c r="E36" s="4" t="e">
        <f>[1]!gridnorthing(B36,C36,A36)</f>
        <v>#VALUE!</v>
      </c>
      <c r="F36" s="8" t="e">
        <f>[1]!gridzone(B36,C36,A36)</f>
        <v>#VALUE!</v>
      </c>
      <c r="G36" s="8" t="e">
        <f>[1]!GridGridCon(B36,C36,A36)</f>
        <v>#VALUE!</v>
      </c>
      <c r="H36" s="9" t="e">
        <f>[1]!GridPntScleFact(B36,C36,A36)</f>
        <v>#VALUE!</v>
      </c>
      <c r="I36" s="5" t="e">
        <f>[1]!datumlat(D36,E36,F36,A36)</f>
        <v>#VALUE!</v>
      </c>
      <c r="J36" s="5" t="e">
        <f>[1]!datumlong(D36,E36,F36,A36)</f>
        <v>#VALUE!</v>
      </c>
      <c r="K36" s="10" t="e">
        <f>[1]!DatumPntScle(D36,E36,F36,A36)</f>
        <v>#VALUE!</v>
      </c>
      <c r="L36" s="11" t="e">
        <f>[1]!DatumGridConv(D36,E36,F36,A36)</f>
        <v>#VALUE!</v>
      </c>
    </row>
    <row r="37" spans="1:12" x14ac:dyDescent="0.3">
      <c r="A37" s="2" t="s">
        <v>72</v>
      </c>
      <c r="B37" s="3" t="s">
        <v>49</v>
      </c>
      <c r="C37" s="3" t="s">
        <v>50</v>
      </c>
      <c r="D37" s="13" t="e">
        <f>[1]!grideasting(B37,C37,A37)</f>
        <v>#VALUE!</v>
      </c>
      <c r="E37" s="4" t="e">
        <f>[1]!gridnorthing(B37,C37,A37)</f>
        <v>#VALUE!</v>
      </c>
      <c r="F37" s="8" t="e">
        <f>[1]!gridzone(B37,C37,A37)</f>
        <v>#VALUE!</v>
      </c>
      <c r="G37" s="8" t="e">
        <f>[1]!GridGridCon(B37,C37,A37)</f>
        <v>#VALUE!</v>
      </c>
      <c r="H37" s="9" t="e">
        <f>[1]!GridPntScleFact(B37,C37,A37)</f>
        <v>#VALUE!</v>
      </c>
      <c r="I37" s="5" t="e">
        <f>[1]!datumlat(D37,E37,F37,A37)</f>
        <v>#VALUE!</v>
      </c>
      <c r="J37" s="5" t="e">
        <f>[1]!datumlong(D37,E37,F37,A37)</f>
        <v>#VALUE!</v>
      </c>
      <c r="K37" s="10" t="e">
        <f>[1]!DatumPntScle(D37,E37,F37,A37)</f>
        <v>#VALUE!</v>
      </c>
      <c r="L37" s="11" t="e">
        <f>[1]!DatumGridConv(D37,E37,F37,A37)</f>
        <v>#VALUE!</v>
      </c>
    </row>
    <row r="38" spans="1:12" x14ac:dyDescent="0.3">
      <c r="A38" s="2" t="s">
        <v>73</v>
      </c>
      <c r="B38" s="3" t="s">
        <v>47</v>
      </c>
      <c r="C38" s="3" t="s">
        <v>48</v>
      </c>
      <c r="D38" s="13" t="e">
        <f>[1]!grideasting(B38,C38,A38)</f>
        <v>#VALUE!</v>
      </c>
      <c r="E38" s="4" t="e">
        <f>[1]!gridnorthing(B38,C38,A38)</f>
        <v>#VALUE!</v>
      </c>
      <c r="F38" s="8" t="e">
        <f>[1]!gridzone(B38,C38,A38)</f>
        <v>#VALUE!</v>
      </c>
      <c r="G38" s="8" t="e">
        <f>[1]!GridGridCon(B38,C38,A38)</f>
        <v>#VALUE!</v>
      </c>
      <c r="H38" s="9" t="e">
        <f>[1]!GridPntScleFact(B38,C38,A38)</f>
        <v>#VALUE!</v>
      </c>
      <c r="I38" s="5" t="e">
        <f>[1]!datumlat(D38,E38,F38,A38)</f>
        <v>#VALUE!</v>
      </c>
      <c r="J38" s="5" t="e">
        <f>[1]!datumlong(D38,E38,F38,A38)</f>
        <v>#VALUE!</v>
      </c>
      <c r="K38" s="10" t="e">
        <f>[1]!DatumPntScle(D38,E38,F38,A38)</f>
        <v>#VALUE!</v>
      </c>
      <c r="L38" s="11" t="e">
        <f>[1]!DatumGridConv(D38,E38,F38,A38)</f>
        <v>#VALUE!</v>
      </c>
    </row>
    <row r="39" spans="1:12" x14ac:dyDescent="0.3">
      <c r="A39" s="2" t="s">
        <v>74</v>
      </c>
      <c r="B39" s="3" t="s">
        <v>134</v>
      </c>
      <c r="C39" s="3" t="s">
        <v>135</v>
      </c>
      <c r="D39" s="13" t="e">
        <f>[1]!grideasting(B39,C39,A39)</f>
        <v>#VALUE!</v>
      </c>
      <c r="E39" s="4" t="e">
        <f>[1]!gridnorthing(B39,C39,A39)</f>
        <v>#VALUE!</v>
      </c>
      <c r="F39" s="8" t="e">
        <f>[1]!gridzone(B39,C39,A39)</f>
        <v>#VALUE!</v>
      </c>
      <c r="G39" s="8" t="e">
        <f>[1]!GridGridCon(B39,C39,A39)</f>
        <v>#VALUE!</v>
      </c>
      <c r="H39" s="9" t="e">
        <f>[1]!GridPntScleFact(B39,C39,A39)</f>
        <v>#VALUE!</v>
      </c>
      <c r="I39" s="5" t="e">
        <f>[1]!datumlat(D39,E39,F39,A39)</f>
        <v>#VALUE!</v>
      </c>
      <c r="J39" s="5" t="e">
        <f>[1]!datumlong(D39,E39,F39,A39)</f>
        <v>#VALUE!</v>
      </c>
      <c r="K39" s="10" t="e">
        <f>[1]!DatumPntScle(D39,E39,F39,A39)</f>
        <v>#VALUE!</v>
      </c>
      <c r="L39" s="11" t="e">
        <f>[1]!DatumGridConv(D39,E39,F39,A39)</f>
        <v>#VALUE!</v>
      </c>
    </row>
    <row r="40" spans="1:12" x14ac:dyDescent="0.3">
      <c r="A40" s="2" t="s">
        <v>75</v>
      </c>
      <c r="B40" s="3" t="s">
        <v>39</v>
      </c>
      <c r="C40" s="3" t="s">
        <v>40</v>
      </c>
      <c r="D40" s="13" t="e">
        <f>[1]!grideasting(B40,C40,A40)</f>
        <v>#VALUE!</v>
      </c>
      <c r="E40" s="4" t="e">
        <f>[1]!gridnorthing(B40,C40,A40)</f>
        <v>#VALUE!</v>
      </c>
      <c r="F40" s="8" t="e">
        <f>[1]!gridzone(B40,C40,A40)</f>
        <v>#VALUE!</v>
      </c>
      <c r="G40" s="8" t="e">
        <f>[1]!GridGridCon(B40,C40,A40)</f>
        <v>#VALUE!</v>
      </c>
      <c r="H40" s="9" t="e">
        <f>[1]!GridPntScleFact(B40,C40,A40)</f>
        <v>#VALUE!</v>
      </c>
      <c r="I40" s="5" t="e">
        <f>[1]!datumlat(D40,E40,F40,A40)</f>
        <v>#VALUE!</v>
      </c>
      <c r="J40" s="5" t="e">
        <f>[1]!datumlong(D40,E40,F40,A40)</f>
        <v>#VALUE!</v>
      </c>
      <c r="K40" s="10" t="e">
        <f>[1]!DatumPntScle(D40,E40,F40,A40)</f>
        <v>#VALUE!</v>
      </c>
      <c r="L40" s="11" t="e">
        <f>[1]!DatumGridConv(D40,E40,F40,A40)</f>
        <v>#VALUE!</v>
      </c>
    </row>
    <row r="41" spans="1:12" x14ac:dyDescent="0.3">
      <c r="A41" s="2" t="s">
        <v>76</v>
      </c>
      <c r="B41" s="3" t="s">
        <v>29</v>
      </c>
      <c r="C41" s="3" t="s">
        <v>30</v>
      </c>
      <c r="D41" s="13" t="e">
        <f>[1]!grideasting(B41,C41,A41)</f>
        <v>#VALUE!</v>
      </c>
      <c r="E41" s="4" t="e">
        <f>[1]!gridnorthing(B41,C41,A41)</f>
        <v>#VALUE!</v>
      </c>
      <c r="F41" s="8" t="e">
        <f>[1]!gridzone(B41,C41,A41)</f>
        <v>#VALUE!</v>
      </c>
      <c r="G41" s="8" t="e">
        <f>[1]!GridGridCon(B41,C41,A41)</f>
        <v>#VALUE!</v>
      </c>
      <c r="H41" s="9" t="e">
        <f>[1]!GridPntScleFact(B41,C41,A41)</f>
        <v>#VALUE!</v>
      </c>
      <c r="I41" s="5" t="e">
        <f>[1]!datumlat(D41,E41,F41,A41)</f>
        <v>#VALUE!</v>
      </c>
      <c r="J41" s="5" t="e">
        <f>[1]!datumlong(D41,E41,F41,A41)</f>
        <v>#VALUE!</v>
      </c>
      <c r="K41" s="10" t="e">
        <f>[1]!DatumPntScle(D41,E41,F41,A41)</f>
        <v>#VALUE!</v>
      </c>
      <c r="L41" s="11" t="e">
        <f>[1]!DatumGridConv(D41,E41,F41,A41)</f>
        <v>#VALUE!</v>
      </c>
    </row>
    <row r="42" spans="1:12" x14ac:dyDescent="0.3">
      <c r="A42" s="2" t="s">
        <v>77</v>
      </c>
      <c r="B42" s="3" t="s">
        <v>53</v>
      </c>
      <c r="C42" s="3" t="s">
        <v>54</v>
      </c>
      <c r="D42" s="13" t="e">
        <f>[1]!grideasting(B42,C42,A42)</f>
        <v>#VALUE!</v>
      </c>
      <c r="E42" s="4" t="e">
        <f>[1]!gridnorthing(B42,C42,A42)</f>
        <v>#VALUE!</v>
      </c>
      <c r="F42" s="8" t="e">
        <f>[1]!gridzone(B42,C42,A42)</f>
        <v>#VALUE!</v>
      </c>
      <c r="G42" s="8" t="e">
        <f>[1]!GridGridCon(B42,C42,A42)</f>
        <v>#VALUE!</v>
      </c>
      <c r="H42" s="9" t="e">
        <f>[1]!GridPntScleFact(B42,C42,A42)</f>
        <v>#VALUE!</v>
      </c>
      <c r="I42" s="5" t="e">
        <f>[1]!datumlat(D42,E42,F42,A42)</f>
        <v>#VALUE!</v>
      </c>
      <c r="J42" s="5" t="e">
        <f>[1]!datumlong(D42,E42,F42,A42)</f>
        <v>#VALUE!</v>
      </c>
      <c r="K42" s="10" t="e">
        <f>[1]!DatumPntScle(D42,E42,F42,A42)</f>
        <v>#VALUE!</v>
      </c>
      <c r="L42" s="11" t="e">
        <f>[1]!DatumGridConv(D42,E42,F42,A42)</f>
        <v>#VALUE!</v>
      </c>
    </row>
    <row r="43" spans="1:12" x14ac:dyDescent="0.3">
      <c r="A43" s="2" t="s">
        <v>78</v>
      </c>
      <c r="B43" s="3" t="s">
        <v>25</v>
      </c>
      <c r="C43" s="3" t="s">
        <v>26</v>
      </c>
      <c r="D43" s="13" t="e">
        <f>[1]!grideasting(B43,C43,A43)</f>
        <v>#VALUE!</v>
      </c>
      <c r="E43" s="4" t="e">
        <f>[1]!gridnorthing(B43,C43,A43)</f>
        <v>#VALUE!</v>
      </c>
      <c r="F43" s="8" t="e">
        <f>[1]!gridzone(B43,C43,A43)</f>
        <v>#VALUE!</v>
      </c>
      <c r="G43" s="8" t="e">
        <f>[1]!GridGridCon(B43,C43,A43)</f>
        <v>#VALUE!</v>
      </c>
      <c r="H43" s="9" t="e">
        <f>[1]!GridPntScleFact(B43,C43,A43)</f>
        <v>#VALUE!</v>
      </c>
      <c r="I43" s="5" t="e">
        <f>[1]!datumlat(D43,E43,F43,A43)</f>
        <v>#VALUE!</v>
      </c>
      <c r="J43" s="5" t="e">
        <f>[1]!datumlong(D43,E43,F43,A43)</f>
        <v>#VALUE!</v>
      </c>
      <c r="K43" s="10" t="e">
        <f>[1]!DatumPntScle(D43,E43,F43,A43)</f>
        <v>#VALUE!</v>
      </c>
      <c r="L43" s="11" t="e">
        <f>[1]!DatumGridConv(D43,E43,F43,A43)</f>
        <v>#VALUE!</v>
      </c>
    </row>
    <row r="44" spans="1:12" x14ac:dyDescent="0.3">
      <c r="A44" s="2" t="s">
        <v>79</v>
      </c>
      <c r="B44" s="3" t="s">
        <v>45</v>
      </c>
      <c r="C44" s="3" t="s">
        <v>46</v>
      </c>
      <c r="D44" s="13" t="e">
        <f>[1]!grideasting(B44,C44,A44)</f>
        <v>#VALUE!</v>
      </c>
      <c r="E44" s="4" t="e">
        <f>[1]!gridnorthing(B44,C44,A44)</f>
        <v>#VALUE!</v>
      </c>
      <c r="F44" s="8" t="e">
        <f>[1]!gridzone(B44,C44,A44)</f>
        <v>#VALUE!</v>
      </c>
      <c r="G44" s="8" t="e">
        <f>[1]!GridGridCon(B44,C44,A44)</f>
        <v>#VALUE!</v>
      </c>
      <c r="H44" s="9" t="e">
        <f>[1]!GridPntScleFact(B44,C44,A44)</f>
        <v>#VALUE!</v>
      </c>
      <c r="I44" s="5" t="e">
        <f>[1]!datumlat(D44,E44,F44,A44)</f>
        <v>#VALUE!</v>
      </c>
      <c r="J44" s="5" t="e">
        <f>[1]!datumlong(D44,E44,F44,A44)</f>
        <v>#VALUE!</v>
      </c>
      <c r="K44" s="10" t="e">
        <f>[1]!DatumPntScle(D44,E44,F44,A44)</f>
        <v>#VALUE!</v>
      </c>
      <c r="L44" s="11" t="e">
        <f>[1]!DatumGridConv(D44,E44,F44,A44)</f>
        <v>#VALUE!</v>
      </c>
    </row>
    <row r="45" spans="1:12" ht="15" thickBot="1" x14ac:dyDescent="0.35">
      <c r="A45" s="14" t="s">
        <v>80</v>
      </c>
      <c r="B45" s="15" t="s">
        <v>55</v>
      </c>
      <c r="C45" s="15" t="s">
        <v>56</v>
      </c>
      <c r="D45" s="16" t="e">
        <f>[1]!grideasting(B45,C45,A45)</f>
        <v>#VALUE!</v>
      </c>
      <c r="E45" s="17" t="e">
        <f>[1]!gridnorthing(B45,C45,A45)</f>
        <v>#VALUE!</v>
      </c>
      <c r="F45" s="18" t="e">
        <f>[1]!gridzone(B45,C45,A45)</f>
        <v>#VALUE!</v>
      </c>
      <c r="G45" s="18" t="e">
        <f>[1]!GridGridCon(B45,C45,A45)</f>
        <v>#VALUE!</v>
      </c>
      <c r="H45" s="19" t="e">
        <f>[1]!GridPntScleFact(B45,C45,A45)</f>
        <v>#VALUE!</v>
      </c>
      <c r="I45" s="20" t="e">
        <f>[1]!datumlat(D45,E45,F45,A45)</f>
        <v>#VALUE!</v>
      </c>
      <c r="J45" s="20" t="e">
        <f>[1]!datumlong(D45,E45,F45,A45)</f>
        <v>#VALUE!</v>
      </c>
      <c r="K45" s="21" t="e">
        <f>[1]!DatumPntScle(D45,E45,F45,A45)</f>
        <v>#VALUE!</v>
      </c>
      <c r="L45" s="22" t="e">
        <f>[1]!DatumGridConv(D45,E45,F45,A45)</f>
        <v>#VALUE!</v>
      </c>
    </row>
    <row r="46" spans="1:12" ht="15" thickBot="1" x14ac:dyDescent="0.35">
      <c r="A46" s="32" t="s">
        <v>137</v>
      </c>
      <c r="B46" s="33" t="s">
        <v>182</v>
      </c>
      <c r="C46" s="33" t="s">
        <v>136</v>
      </c>
      <c r="D46" s="34" t="e">
        <f>[1]!grideasting(B46,C46,A46)</f>
        <v>#VALUE!</v>
      </c>
      <c r="E46" s="35" t="e">
        <f>[1]!gridnorthing(B46,C46,A46)</f>
        <v>#VALUE!</v>
      </c>
      <c r="F46" s="36" t="e">
        <f>[1]!gridzone(B46,C46,A46)</f>
        <v>#VALUE!</v>
      </c>
      <c r="G46" s="36" t="e">
        <f>[1]!GridGridCon(B46,C46,A46)</f>
        <v>#VALUE!</v>
      </c>
      <c r="H46" s="37" t="e">
        <f>[1]!GridPntScleFact(B46,C46,A46)</f>
        <v>#VALUE!</v>
      </c>
      <c r="I46" s="38" t="e">
        <f>[1]!datumlat(D46,E46,F46,A46)</f>
        <v>#VALUE!</v>
      </c>
      <c r="J46" s="38" t="e">
        <f>[1]!datumlong(D46,E46,F46,A46)</f>
        <v>#VALUE!</v>
      </c>
      <c r="K46" s="39" t="e">
        <f>[1]!DatumPntScle(D46,E46,F46,A46)</f>
        <v>#VALUE!</v>
      </c>
      <c r="L46" s="40" t="e">
        <f>[1]!DatumGridConv(D46,E46,F46,A46)</f>
        <v>#VALUE!</v>
      </c>
    </row>
    <row r="47" spans="1:12" x14ac:dyDescent="0.3">
      <c r="A47" s="23" t="s">
        <v>81</v>
      </c>
      <c r="B47" s="24" t="s">
        <v>21</v>
      </c>
      <c r="C47" s="24" t="s">
        <v>22</v>
      </c>
      <c r="D47" s="25" t="e">
        <f>[1]!grideasting(B47,C47,A47)</f>
        <v>#VALUE!</v>
      </c>
      <c r="E47" s="26" t="e">
        <f>[1]!gridnorthing(B47,C47,A47)</f>
        <v>#VALUE!</v>
      </c>
      <c r="F47" s="27" t="e">
        <f>[1]!gridzone(B47,C47,A47)</f>
        <v>#VALUE!</v>
      </c>
      <c r="G47" s="27" t="e">
        <f>[1]!GridGridCon(B47,C47,A47)</f>
        <v>#VALUE!</v>
      </c>
      <c r="H47" s="28" t="e">
        <f>[1]!GridPntScleFact(B47,C47,A47)</f>
        <v>#VALUE!</v>
      </c>
      <c r="I47" s="29" t="e">
        <f>[1]!datumlat(D47,E47,F47,A47)</f>
        <v>#VALUE!</v>
      </c>
      <c r="J47" s="29" t="e">
        <f>[1]!datumlong(D47,E47,F47,A47)</f>
        <v>#VALUE!</v>
      </c>
      <c r="K47" s="30" t="e">
        <f>[1]!DatumPntScle(D47,E47,F47,A47)</f>
        <v>#VALUE!</v>
      </c>
      <c r="L47" s="31" t="e">
        <f>[1]!DatumGridConv(D47,E47,F47,A47)</f>
        <v>#VALUE!</v>
      </c>
    </row>
    <row r="48" spans="1:12" x14ac:dyDescent="0.3">
      <c r="A48" s="2" t="s">
        <v>82</v>
      </c>
      <c r="B48" s="3" t="s">
        <v>27</v>
      </c>
      <c r="C48" s="3" t="s">
        <v>28</v>
      </c>
      <c r="D48" s="13" t="e">
        <f>[1]!grideasting(B48,C48,A48)</f>
        <v>#VALUE!</v>
      </c>
      <c r="E48" s="4" t="e">
        <f>[1]!gridnorthing(B48,C48,A48)</f>
        <v>#VALUE!</v>
      </c>
      <c r="F48" s="8" t="e">
        <f>[1]!gridzone(B48,C48,A48)</f>
        <v>#VALUE!</v>
      </c>
      <c r="G48" s="8" t="e">
        <f>[1]!GridGridCon(B48,C48,A48)</f>
        <v>#VALUE!</v>
      </c>
      <c r="H48" s="9" t="e">
        <f>[1]!GridPntScleFact(B48,C48,A48)</f>
        <v>#VALUE!</v>
      </c>
      <c r="I48" s="5" t="e">
        <f>[1]!datumlat(D48,E48,F48,A48)</f>
        <v>#VALUE!</v>
      </c>
      <c r="J48" s="5" t="e">
        <f>[1]!datumlong(D48,E48,F48,A48)</f>
        <v>#VALUE!</v>
      </c>
      <c r="K48" s="10" t="e">
        <f>[1]!DatumPntScle(D48,E48,F48,A48)</f>
        <v>#VALUE!</v>
      </c>
      <c r="L48" s="11" t="e">
        <f>[1]!DatumGridConv(D48,E48,F48,A48)</f>
        <v>#VALUE!</v>
      </c>
    </row>
    <row r="49" spans="1:12" x14ac:dyDescent="0.3">
      <c r="A49" s="2" t="s">
        <v>83</v>
      </c>
      <c r="B49" s="3" t="s">
        <v>23</v>
      </c>
      <c r="C49" s="3" t="s">
        <v>24</v>
      </c>
      <c r="D49" s="13" t="e">
        <f>[1]!grideasting(B49,C49,A49)</f>
        <v>#VALUE!</v>
      </c>
      <c r="E49" s="4" t="e">
        <f>[1]!gridnorthing(B49,C49,A49)</f>
        <v>#VALUE!</v>
      </c>
      <c r="F49" s="8" t="e">
        <f>[1]!gridzone(B49,C49,A49)</f>
        <v>#VALUE!</v>
      </c>
      <c r="G49" s="8" t="e">
        <f>[1]!GridGridCon(B49,C49,A49)</f>
        <v>#VALUE!</v>
      </c>
      <c r="H49" s="9" t="e">
        <f>[1]!GridPntScleFact(B49,C49,A49)</f>
        <v>#VALUE!</v>
      </c>
      <c r="I49" s="5" t="e">
        <f>[1]!datumlat(D49,E49,F49,A49)</f>
        <v>#VALUE!</v>
      </c>
      <c r="J49" s="5" t="e">
        <f>[1]!datumlong(D49,E49,F49,A49)</f>
        <v>#VALUE!</v>
      </c>
      <c r="K49" s="10" t="e">
        <f>[1]!DatumPntScle(D49,E49,F49,A49)</f>
        <v>#VALUE!</v>
      </c>
      <c r="L49" s="11" t="e">
        <f>[1]!DatumGridConv(D49,E49,F49,A49)</f>
        <v>#VALUE!</v>
      </c>
    </row>
    <row r="50" spans="1:12" x14ac:dyDescent="0.3">
      <c r="A50" s="2" t="s">
        <v>84</v>
      </c>
      <c r="B50" s="3" t="s">
        <v>37</v>
      </c>
      <c r="C50" s="3" t="s">
        <v>38</v>
      </c>
      <c r="D50" s="13" t="e">
        <f>[1]!grideasting(B50,C50,A50)</f>
        <v>#VALUE!</v>
      </c>
      <c r="E50" s="4" t="e">
        <f>[1]!gridnorthing(B50,C50,A50)</f>
        <v>#VALUE!</v>
      </c>
      <c r="F50" s="8" t="e">
        <f>[1]!gridzone(B50,C50,A50)</f>
        <v>#VALUE!</v>
      </c>
      <c r="G50" s="8" t="e">
        <f>[1]!GridGridCon(B50,C50,A50)</f>
        <v>#VALUE!</v>
      </c>
      <c r="H50" s="9" t="e">
        <f>[1]!GridPntScleFact(B50,C50,A50)</f>
        <v>#VALUE!</v>
      </c>
      <c r="I50" s="5" t="e">
        <f>[1]!datumlat(D50,E50,F50,A50)</f>
        <v>#VALUE!</v>
      </c>
      <c r="J50" s="5" t="e">
        <f>[1]!datumlong(D50,E50,F50,A50)</f>
        <v>#VALUE!</v>
      </c>
      <c r="K50" s="10" t="e">
        <f>[1]!DatumPntScle(D50,E50,F50,A50)</f>
        <v>#VALUE!</v>
      </c>
      <c r="L50" s="11" t="e">
        <f>[1]!DatumGridConv(D50,E50,F50,A50)</f>
        <v>#VALUE!</v>
      </c>
    </row>
    <row r="51" spans="1:12" x14ac:dyDescent="0.3">
      <c r="A51" s="2" t="s">
        <v>85</v>
      </c>
      <c r="B51" s="3" t="s">
        <v>31</v>
      </c>
      <c r="C51" s="3" t="s">
        <v>32</v>
      </c>
      <c r="D51" s="13" t="e">
        <f>[1]!grideasting(B51,C51,A51)</f>
        <v>#VALUE!</v>
      </c>
      <c r="E51" s="4" t="e">
        <f>[1]!gridnorthing(B51,C51,A51)</f>
        <v>#VALUE!</v>
      </c>
      <c r="F51" s="8" t="e">
        <f>[1]!gridzone(B51,C51,A51)</f>
        <v>#VALUE!</v>
      </c>
      <c r="G51" s="8" t="e">
        <f>[1]!GridGridCon(B51,C51,A51)</f>
        <v>#VALUE!</v>
      </c>
      <c r="H51" s="9" t="e">
        <f>[1]!GridPntScleFact(B51,C51,A51)</f>
        <v>#VALUE!</v>
      </c>
      <c r="I51" s="5" t="e">
        <f>[1]!datumlat(D51,E51,F51,A51)</f>
        <v>#VALUE!</v>
      </c>
      <c r="J51" s="5" t="e">
        <f>[1]!datumlong(D51,E51,F51,A51)</f>
        <v>#VALUE!</v>
      </c>
      <c r="K51" s="10" t="e">
        <f>[1]!DatumPntScle(D51,E51,F51,A51)</f>
        <v>#VALUE!</v>
      </c>
      <c r="L51" s="11" t="e">
        <f>[1]!DatumGridConv(D51,E51,F51,A51)</f>
        <v>#VALUE!</v>
      </c>
    </row>
    <row r="52" spans="1:12" x14ac:dyDescent="0.3">
      <c r="A52" s="2" t="s">
        <v>86</v>
      </c>
      <c r="B52" s="3" t="s">
        <v>33</v>
      </c>
      <c r="C52" s="3" t="s">
        <v>34</v>
      </c>
      <c r="D52" s="13" t="e">
        <f>[1]!grideasting(B52,C52,A52)</f>
        <v>#VALUE!</v>
      </c>
      <c r="E52" s="4" t="e">
        <f>[1]!gridnorthing(B52,C52,A52)</f>
        <v>#VALUE!</v>
      </c>
      <c r="F52" s="8" t="e">
        <f>[1]!gridzone(B52,C52,A52)</f>
        <v>#VALUE!</v>
      </c>
      <c r="G52" s="8" t="e">
        <f>[1]!GridGridCon(B52,C52,A52)</f>
        <v>#VALUE!</v>
      </c>
      <c r="H52" s="9" t="e">
        <f>[1]!GridPntScleFact(B52,C52,A52)</f>
        <v>#VALUE!</v>
      </c>
      <c r="I52" s="5" t="e">
        <f>[1]!datumlat(D52,E52,F52,A52)</f>
        <v>#VALUE!</v>
      </c>
      <c r="J52" s="5" t="e">
        <f>[1]!datumlong(D52,E52,F52,A52)</f>
        <v>#VALUE!</v>
      </c>
      <c r="K52" s="10" t="e">
        <f>[1]!DatumPntScle(D52,E52,F52,A52)</f>
        <v>#VALUE!</v>
      </c>
      <c r="L52" s="11" t="e">
        <f>[1]!DatumGridConv(D52,E52,F52,A52)</f>
        <v>#VALUE!</v>
      </c>
    </row>
    <row r="53" spans="1:12" x14ac:dyDescent="0.3">
      <c r="A53" s="2" t="s">
        <v>87</v>
      </c>
      <c r="B53" s="3" t="s">
        <v>41</v>
      </c>
      <c r="C53" s="3" t="s">
        <v>42</v>
      </c>
      <c r="D53" s="13" t="e">
        <f>[1]!grideasting(B53,C53,A53)</f>
        <v>#VALUE!</v>
      </c>
      <c r="E53" s="4" t="e">
        <f>[1]!gridnorthing(B53,C53,A53)</f>
        <v>#VALUE!</v>
      </c>
      <c r="F53" s="8" t="e">
        <f>[1]!gridzone(B53,C53,A53)</f>
        <v>#VALUE!</v>
      </c>
      <c r="G53" s="8" t="e">
        <f>[1]!GridGridCon(B53,C53,A53)</f>
        <v>#VALUE!</v>
      </c>
      <c r="H53" s="9" t="e">
        <f>[1]!GridPntScleFact(B53,C53,A53)</f>
        <v>#VALUE!</v>
      </c>
      <c r="I53" s="5" t="e">
        <f>[1]!datumlat(D53,E53,F53,A53)</f>
        <v>#VALUE!</v>
      </c>
      <c r="J53" s="5" t="e">
        <f>[1]!datumlong(D53,E53,F53,A53)</f>
        <v>#VALUE!</v>
      </c>
      <c r="K53" s="10" t="e">
        <f>[1]!DatumPntScle(D53,E53,F53,A53)</f>
        <v>#VALUE!</v>
      </c>
      <c r="L53" s="11" t="e">
        <f>[1]!DatumGridConv(D53,E53,F53,A53)</f>
        <v>#VALUE!</v>
      </c>
    </row>
    <row r="54" spans="1:12" x14ac:dyDescent="0.3">
      <c r="A54" s="2" t="s">
        <v>88</v>
      </c>
      <c r="B54" s="3" t="s">
        <v>51</v>
      </c>
      <c r="C54" s="3" t="s">
        <v>52</v>
      </c>
      <c r="D54" s="13" t="e">
        <f>[1]!grideasting(B54,C54,A54)</f>
        <v>#VALUE!</v>
      </c>
      <c r="E54" s="4" t="e">
        <f>[1]!gridnorthing(B54,C54,A54)</f>
        <v>#VALUE!</v>
      </c>
      <c r="F54" s="8" t="e">
        <f>[1]!gridzone(B54,C54,A54)</f>
        <v>#VALUE!</v>
      </c>
      <c r="G54" s="8" t="e">
        <f>[1]!GridGridCon(B54,C54,A54)</f>
        <v>#VALUE!</v>
      </c>
      <c r="H54" s="9" t="e">
        <f>[1]!GridPntScleFact(B54,C54,A54)</f>
        <v>#VALUE!</v>
      </c>
      <c r="I54" s="5" t="e">
        <f>[1]!datumlat(D54,E54,F54,A54)</f>
        <v>#VALUE!</v>
      </c>
      <c r="J54" s="5" t="e">
        <f>[1]!datumlong(D54,E54,F54,A54)</f>
        <v>#VALUE!</v>
      </c>
      <c r="K54" s="10" t="e">
        <f>[1]!DatumPntScle(D54,E54,F54,A54)</f>
        <v>#VALUE!</v>
      </c>
      <c r="L54" s="11" t="e">
        <f>[1]!DatumGridConv(D54,E54,F54,A54)</f>
        <v>#VALUE!</v>
      </c>
    </row>
    <row r="55" spans="1:12" x14ac:dyDescent="0.3">
      <c r="A55" s="2" t="s">
        <v>89</v>
      </c>
      <c r="B55" s="3" t="s">
        <v>43</v>
      </c>
      <c r="C55" s="3" t="s">
        <v>44</v>
      </c>
      <c r="D55" s="13" t="e">
        <f>[1]!grideasting(B55,C55,A55)</f>
        <v>#VALUE!</v>
      </c>
      <c r="E55" s="4" t="e">
        <f>[1]!gridnorthing(B55,C55,A55)</f>
        <v>#VALUE!</v>
      </c>
      <c r="F55" s="8" t="e">
        <f>[1]!gridzone(B55,C55,A55)</f>
        <v>#VALUE!</v>
      </c>
      <c r="G55" s="8" t="e">
        <f>[1]!GridGridCon(B55,C55,A55)</f>
        <v>#VALUE!</v>
      </c>
      <c r="H55" s="9" t="e">
        <f>[1]!GridPntScleFact(B55,C55,A55)</f>
        <v>#VALUE!</v>
      </c>
      <c r="I55" s="5" t="e">
        <f>[1]!datumlat(D55,E55,F55,A55)</f>
        <v>#VALUE!</v>
      </c>
      <c r="J55" s="5" t="e">
        <f>[1]!datumlong(D55,E55,F55,A55)</f>
        <v>#VALUE!</v>
      </c>
      <c r="K55" s="10" t="e">
        <f>[1]!DatumPntScle(D55,E55,F55,A55)</f>
        <v>#VALUE!</v>
      </c>
      <c r="L55" s="11" t="e">
        <f>[1]!DatumGridConv(D55,E55,F55,A55)</f>
        <v>#VALUE!</v>
      </c>
    </row>
    <row r="56" spans="1:12" x14ac:dyDescent="0.3">
      <c r="A56" s="2" t="s">
        <v>90</v>
      </c>
      <c r="B56" s="3" t="s">
        <v>49</v>
      </c>
      <c r="C56" s="3" t="s">
        <v>50</v>
      </c>
      <c r="D56" s="13" t="e">
        <f>[1]!grideasting(B56,C56,A56)</f>
        <v>#VALUE!</v>
      </c>
      <c r="E56" s="4" t="e">
        <f>[1]!gridnorthing(B56,C56,A56)</f>
        <v>#VALUE!</v>
      </c>
      <c r="F56" s="8" t="e">
        <f>[1]!gridzone(B56,C56,A56)</f>
        <v>#VALUE!</v>
      </c>
      <c r="G56" s="8" t="e">
        <f>[1]!GridGridCon(B56,C56,A56)</f>
        <v>#VALUE!</v>
      </c>
      <c r="H56" s="9" t="e">
        <f>[1]!GridPntScleFact(B56,C56,A56)</f>
        <v>#VALUE!</v>
      </c>
      <c r="I56" s="5" t="e">
        <f>[1]!datumlat(D56,E56,F56,A56)</f>
        <v>#VALUE!</v>
      </c>
      <c r="J56" s="5" t="e">
        <f>[1]!datumlong(D56,E56,F56,A56)</f>
        <v>#VALUE!</v>
      </c>
      <c r="K56" s="10" t="e">
        <f>[1]!DatumPntScle(D56,E56,F56,A56)</f>
        <v>#VALUE!</v>
      </c>
      <c r="L56" s="11" t="e">
        <f>[1]!DatumGridConv(D56,E56,F56,A56)</f>
        <v>#VALUE!</v>
      </c>
    </row>
    <row r="57" spans="1:12" x14ac:dyDescent="0.3">
      <c r="A57" s="2" t="s">
        <v>91</v>
      </c>
      <c r="B57" s="3" t="s">
        <v>47</v>
      </c>
      <c r="C57" s="3" t="s">
        <v>48</v>
      </c>
      <c r="D57" s="13" t="e">
        <f>[1]!grideasting(B57,C57,A57)</f>
        <v>#VALUE!</v>
      </c>
      <c r="E57" s="4" t="e">
        <f>[1]!gridnorthing(B57,C57,A57)</f>
        <v>#VALUE!</v>
      </c>
      <c r="F57" s="8" t="e">
        <f>[1]!gridzone(B57,C57,A57)</f>
        <v>#VALUE!</v>
      </c>
      <c r="G57" s="8" t="e">
        <f>[1]!GridGridCon(B57,C57,A57)</f>
        <v>#VALUE!</v>
      </c>
      <c r="H57" s="9" t="e">
        <f>[1]!GridPntScleFact(B57,C57,A57)</f>
        <v>#VALUE!</v>
      </c>
      <c r="I57" s="5" t="e">
        <f>[1]!datumlat(D57,E57,F57,A57)</f>
        <v>#VALUE!</v>
      </c>
      <c r="J57" s="5" t="e">
        <f>[1]!datumlong(D57,E57,F57,A57)</f>
        <v>#VALUE!</v>
      </c>
      <c r="K57" s="10" t="e">
        <f>[1]!DatumPntScle(D57,E57,F57,A57)</f>
        <v>#VALUE!</v>
      </c>
      <c r="L57" s="11" t="e">
        <f>[1]!DatumGridConv(D57,E57,F57,A57)</f>
        <v>#VALUE!</v>
      </c>
    </row>
    <row r="58" spans="1:12" x14ac:dyDescent="0.3">
      <c r="A58" s="2" t="s">
        <v>92</v>
      </c>
      <c r="B58" s="3" t="s">
        <v>39</v>
      </c>
      <c r="C58" s="3" t="s">
        <v>40</v>
      </c>
      <c r="D58" s="13" t="e">
        <f>[1]!grideasting(B58,C58,A58)</f>
        <v>#VALUE!</v>
      </c>
      <c r="E58" s="4" t="e">
        <f>[1]!gridnorthing(B58,C58,A58)</f>
        <v>#VALUE!</v>
      </c>
      <c r="F58" s="8" t="e">
        <f>[1]!gridzone(B58,C58,A58)</f>
        <v>#VALUE!</v>
      </c>
      <c r="G58" s="8" t="e">
        <f>[1]!GridGridCon(B58,C58,A58)</f>
        <v>#VALUE!</v>
      </c>
      <c r="H58" s="9" t="e">
        <f>[1]!GridPntScleFact(B58,C58,A58)</f>
        <v>#VALUE!</v>
      </c>
      <c r="I58" s="5" t="e">
        <f>[1]!datumlat(D58,E58,F58,A58)</f>
        <v>#VALUE!</v>
      </c>
      <c r="J58" s="5" t="e">
        <f>[1]!datumlong(D58,E58,F58,A58)</f>
        <v>#VALUE!</v>
      </c>
      <c r="K58" s="10" t="e">
        <f>[1]!DatumPntScle(D58,E58,F58,A58)</f>
        <v>#VALUE!</v>
      </c>
      <c r="L58" s="11" t="e">
        <f>[1]!DatumGridConv(D58,E58,F58,A58)</f>
        <v>#VALUE!</v>
      </c>
    </row>
    <row r="59" spans="1:12" x14ac:dyDescent="0.3">
      <c r="A59" s="2" t="s">
        <v>93</v>
      </c>
      <c r="B59" s="3" t="s">
        <v>29</v>
      </c>
      <c r="C59" s="3" t="s">
        <v>30</v>
      </c>
      <c r="D59" s="13" t="e">
        <f>[1]!grideasting(B59,C59,A59)</f>
        <v>#VALUE!</v>
      </c>
      <c r="E59" s="4" t="e">
        <f>[1]!gridnorthing(B59,C59,A59)</f>
        <v>#VALUE!</v>
      </c>
      <c r="F59" s="8" t="e">
        <f>[1]!gridzone(B59,C59,A59)</f>
        <v>#VALUE!</v>
      </c>
      <c r="G59" s="8" t="e">
        <f>[1]!GridGridCon(B59,C59,A59)</f>
        <v>#VALUE!</v>
      </c>
      <c r="H59" s="9" t="e">
        <f>[1]!GridPntScleFact(B59,C59,A59)</f>
        <v>#VALUE!</v>
      </c>
      <c r="I59" s="5" t="e">
        <f>[1]!datumlat(D59,E59,F59,A59)</f>
        <v>#VALUE!</v>
      </c>
      <c r="J59" s="5" t="e">
        <f>[1]!datumlong(D59,E59,F59,A59)</f>
        <v>#VALUE!</v>
      </c>
      <c r="K59" s="10" t="e">
        <f>[1]!DatumPntScle(D59,E59,F59,A59)</f>
        <v>#VALUE!</v>
      </c>
      <c r="L59" s="11" t="e">
        <f>[1]!DatumGridConv(D59,E59,F59,A59)</f>
        <v>#VALUE!</v>
      </c>
    </row>
    <row r="60" spans="1:12" x14ac:dyDescent="0.3">
      <c r="A60" s="2" t="s">
        <v>94</v>
      </c>
      <c r="B60" s="3" t="s">
        <v>53</v>
      </c>
      <c r="C60" s="3" t="s">
        <v>54</v>
      </c>
      <c r="D60" s="13" t="e">
        <f>[1]!grideasting(B60,C60,A60)</f>
        <v>#VALUE!</v>
      </c>
      <c r="E60" s="4" t="e">
        <f>[1]!gridnorthing(B60,C60,A60)</f>
        <v>#VALUE!</v>
      </c>
      <c r="F60" s="8" t="e">
        <f>[1]!gridzone(B60,C60,A60)</f>
        <v>#VALUE!</v>
      </c>
      <c r="G60" s="8" t="e">
        <f>[1]!GridGridCon(B60,C60,A60)</f>
        <v>#VALUE!</v>
      </c>
      <c r="H60" s="9" t="e">
        <f>[1]!GridPntScleFact(B60,C60,A60)</f>
        <v>#VALUE!</v>
      </c>
      <c r="I60" s="5" t="e">
        <f>[1]!datumlat(D60,E60,F60,A60)</f>
        <v>#VALUE!</v>
      </c>
      <c r="J60" s="5" t="e">
        <f>[1]!datumlong(D60,E60,F60,A60)</f>
        <v>#VALUE!</v>
      </c>
      <c r="K60" s="10" t="e">
        <f>[1]!DatumPntScle(D60,E60,F60,A60)</f>
        <v>#VALUE!</v>
      </c>
      <c r="L60" s="11" t="e">
        <f>[1]!DatumGridConv(D60,E60,F60,A60)</f>
        <v>#VALUE!</v>
      </c>
    </row>
    <row r="61" spans="1:12" x14ac:dyDescent="0.3">
      <c r="A61" s="2" t="s">
        <v>95</v>
      </c>
      <c r="B61" s="3" t="s">
        <v>25</v>
      </c>
      <c r="C61" s="3" t="s">
        <v>26</v>
      </c>
      <c r="D61" s="13" t="e">
        <f>[1]!grideasting(B61,C61,A61)</f>
        <v>#VALUE!</v>
      </c>
      <c r="E61" s="4" t="e">
        <f>[1]!gridnorthing(B61,C61,A61)</f>
        <v>#VALUE!</v>
      </c>
      <c r="F61" s="8" t="e">
        <f>[1]!gridzone(B61,C61,A61)</f>
        <v>#VALUE!</v>
      </c>
      <c r="G61" s="8" t="e">
        <f>[1]!GridGridCon(B61,C61,A61)</f>
        <v>#VALUE!</v>
      </c>
      <c r="H61" s="9" t="e">
        <f>[1]!GridPntScleFact(B61,C61,A61)</f>
        <v>#VALUE!</v>
      </c>
      <c r="I61" s="5" t="e">
        <f>[1]!datumlat(D61,E61,F61,A61)</f>
        <v>#VALUE!</v>
      </c>
      <c r="J61" s="5" t="e">
        <f>[1]!datumlong(D61,E61,F61,A61)</f>
        <v>#VALUE!</v>
      </c>
      <c r="K61" s="10" t="e">
        <f>[1]!DatumPntScle(D61,E61,F61,A61)</f>
        <v>#VALUE!</v>
      </c>
      <c r="L61" s="11" t="e">
        <f>[1]!DatumGridConv(D61,E61,F61,A61)</f>
        <v>#VALUE!</v>
      </c>
    </row>
    <row r="62" spans="1:12" x14ac:dyDescent="0.3">
      <c r="A62" s="2" t="s">
        <v>96</v>
      </c>
      <c r="B62" s="3" t="s">
        <v>45</v>
      </c>
      <c r="C62" s="3" t="s">
        <v>46</v>
      </c>
      <c r="D62" s="13" t="e">
        <f>[1]!grideasting(B62,C62,A62)</f>
        <v>#VALUE!</v>
      </c>
      <c r="E62" s="4" t="e">
        <f>[1]!gridnorthing(B62,C62,A62)</f>
        <v>#VALUE!</v>
      </c>
      <c r="F62" s="8" t="e">
        <f>[1]!gridzone(B62,C62,A62)</f>
        <v>#VALUE!</v>
      </c>
      <c r="G62" s="8" t="e">
        <f>[1]!GridGridCon(B62,C62,A62)</f>
        <v>#VALUE!</v>
      </c>
      <c r="H62" s="9" t="e">
        <f>[1]!GridPntScleFact(B62,C62,A62)</f>
        <v>#VALUE!</v>
      </c>
      <c r="I62" s="5" t="e">
        <f>[1]!datumlat(D62,E62,F62,A62)</f>
        <v>#VALUE!</v>
      </c>
      <c r="J62" s="5" t="e">
        <f>[1]!datumlong(D62,E62,F62,A62)</f>
        <v>#VALUE!</v>
      </c>
      <c r="K62" s="10" t="e">
        <f>[1]!DatumPntScle(D62,E62,F62,A62)</f>
        <v>#VALUE!</v>
      </c>
      <c r="L62" s="11" t="e">
        <f>[1]!DatumGridConv(D62,E62,F62,A62)</f>
        <v>#VALUE!</v>
      </c>
    </row>
    <row r="63" spans="1:12" x14ac:dyDescent="0.3">
      <c r="A63" s="2" t="s">
        <v>97</v>
      </c>
      <c r="B63" s="3" t="s">
        <v>55</v>
      </c>
      <c r="C63" s="3" t="s">
        <v>56</v>
      </c>
      <c r="D63" s="13" t="e">
        <f>[1]!grideasting(B63,C63,A63)</f>
        <v>#VALUE!</v>
      </c>
      <c r="E63" s="4" t="e">
        <f>[1]!gridnorthing(B63,C63,A63)</f>
        <v>#VALUE!</v>
      </c>
      <c r="F63" s="8" t="e">
        <f>[1]!gridzone(B63,C63,A63)</f>
        <v>#VALUE!</v>
      </c>
      <c r="G63" s="8" t="e">
        <f>[1]!GridGridCon(B63,C63,A63)</f>
        <v>#VALUE!</v>
      </c>
      <c r="H63" s="9" t="e">
        <f>[1]!GridPntScleFact(B63,C63,A63)</f>
        <v>#VALUE!</v>
      </c>
      <c r="I63" s="5" t="e">
        <f>[1]!datumlat(D63,E63,F63,A63)</f>
        <v>#VALUE!</v>
      </c>
      <c r="J63" s="5" t="e">
        <f>[1]!datumlong(D63,E63,F63,A63)</f>
        <v>#VALUE!</v>
      </c>
      <c r="K63" s="10" t="e">
        <f>[1]!DatumPntScle(D63,E63,F63,A63)</f>
        <v>#VALUE!</v>
      </c>
      <c r="L63" s="11" t="e">
        <f>[1]!DatumGridConv(D63,E63,F63,A63)</f>
        <v>#VALUE!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tabSelected="1" topLeftCell="A284" zoomScale="89" zoomScaleNormal="89" workbookViewId="0">
      <selection activeCell="B300" sqref="B300"/>
    </sheetView>
  </sheetViews>
  <sheetFormatPr defaultRowHeight="14.4" x14ac:dyDescent="0.3"/>
  <cols>
    <col min="1" max="1" width="25.33203125" bestFit="1" customWidth="1"/>
    <col min="2" max="3" width="17" customWidth="1"/>
    <col min="4" max="5" width="14.109375" customWidth="1"/>
    <col min="6" max="6" width="12.33203125" customWidth="1"/>
    <col min="7" max="7" width="19.5546875" bestFit="1" customWidth="1"/>
    <col min="8" max="8" width="19.44140625" bestFit="1" customWidth="1"/>
    <col min="9" max="10" width="17" customWidth="1"/>
    <col min="11" max="11" width="19.44140625" bestFit="1" customWidth="1"/>
    <col min="12" max="12" width="19.5546875" bestFit="1" customWidth="1"/>
    <col min="13" max="13" width="12.6640625" bestFit="1" customWidth="1"/>
  </cols>
  <sheetData>
    <row r="2" spans="1:12" s="6" customFormat="1" ht="203.4" x14ac:dyDescent="0.3">
      <c r="A2" s="42" t="s">
        <v>114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4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3">
      <c r="A4" s="23" t="s">
        <v>195</v>
      </c>
      <c r="B4" s="24" t="s">
        <v>141</v>
      </c>
      <c r="C4" s="24" t="s">
        <v>162</v>
      </c>
      <c r="D4" s="25">
        <f>grideasting(B4,C4,A4)</f>
        <v>68950.325989493416</v>
      </c>
      <c r="E4" s="26">
        <f>gridnorthing(B4,C4,A4)</f>
        <v>-27243.18688185513</v>
      </c>
      <c r="F4" s="27">
        <f>gridzone(B4,C4,A4)</f>
        <v>3</v>
      </c>
      <c r="G4" s="27" t="str">
        <f>GridGridCon(B4,C4,A4)</f>
        <v>0 07 08.99</v>
      </c>
      <c r="H4" s="28">
        <f>GridPntScleFact(B4,C4,A4)</f>
        <v>1.0000361638672217</v>
      </c>
      <c r="I4" s="29" t="str">
        <f>datumlat(D4,E4,F4,A4)</f>
        <v>-36 01 21.36837</v>
      </c>
      <c r="J4" s="29" t="str">
        <f>datumlong(D4,E4,F4,A4)</f>
        <v>117 54 27.49802</v>
      </c>
      <c r="K4" s="30">
        <f>DatumPntScle(D4,E4,F4,A4)</f>
        <v>1.0000361638672219</v>
      </c>
      <c r="L4" s="31" t="str">
        <f>DatumGridConv(D4,E4,F4,A4)</f>
        <v>0 07 08.99</v>
      </c>
    </row>
    <row r="5" spans="1:12" ht="15.75" customHeight="1" x14ac:dyDescent="0.3">
      <c r="A5" s="2" t="s">
        <v>196</v>
      </c>
      <c r="B5" s="3"/>
      <c r="C5" s="3"/>
      <c r="D5" s="13"/>
      <c r="E5" s="4"/>
      <c r="F5" s="8"/>
      <c r="G5" s="8"/>
      <c r="H5" s="9"/>
      <c r="I5" s="5"/>
      <c r="J5" s="5"/>
      <c r="K5" s="10"/>
      <c r="L5" s="11"/>
    </row>
    <row r="6" spans="1:12" ht="15.75" customHeight="1" x14ac:dyDescent="0.3">
      <c r="A6" s="2" t="s">
        <v>197</v>
      </c>
      <c r="B6" s="3"/>
      <c r="C6" s="3"/>
      <c r="D6" s="13"/>
      <c r="E6" s="4"/>
      <c r="F6" s="8"/>
      <c r="G6" s="8"/>
      <c r="H6" s="9"/>
      <c r="I6" s="5"/>
      <c r="J6" s="5"/>
      <c r="K6" s="10"/>
      <c r="L6" s="11"/>
    </row>
    <row r="7" spans="1:12" ht="15.75" customHeight="1" x14ac:dyDescent="0.3">
      <c r="A7" s="2" t="s">
        <v>198</v>
      </c>
      <c r="B7" s="3"/>
      <c r="C7" s="3"/>
      <c r="D7" s="13"/>
      <c r="E7" s="4"/>
      <c r="F7" s="8"/>
      <c r="G7" s="8"/>
      <c r="H7" s="9"/>
      <c r="I7" s="5"/>
      <c r="J7" s="5"/>
      <c r="K7" s="10"/>
      <c r="L7" s="11"/>
    </row>
    <row r="8" spans="1:12" ht="15.75" customHeight="1" x14ac:dyDescent="0.3">
      <c r="A8" s="2" t="s">
        <v>199</v>
      </c>
      <c r="B8" s="3"/>
      <c r="C8" s="3"/>
      <c r="D8" s="13"/>
      <c r="E8" s="4"/>
      <c r="F8" s="8"/>
      <c r="G8" s="8"/>
      <c r="H8" s="9"/>
      <c r="I8" s="5"/>
      <c r="J8" s="5"/>
      <c r="K8" s="10"/>
      <c r="L8" s="11"/>
    </row>
    <row r="9" spans="1:12" ht="15.75" customHeight="1" x14ac:dyDescent="0.3">
      <c r="A9" s="2" t="s">
        <v>200</v>
      </c>
      <c r="B9" s="3"/>
      <c r="C9" s="3"/>
      <c r="D9" s="13"/>
      <c r="E9" s="4"/>
      <c r="F9" s="8"/>
      <c r="G9" s="8"/>
      <c r="H9" s="9"/>
      <c r="I9" s="5"/>
      <c r="J9" s="5"/>
      <c r="K9" s="10"/>
      <c r="L9" s="11"/>
    </row>
    <row r="10" spans="1:12" ht="15.75" customHeight="1" x14ac:dyDescent="0.3">
      <c r="A10" s="2" t="s">
        <v>201</v>
      </c>
      <c r="B10" s="3"/>
      <c r="C10" s="3"/>
      <c r="D10" s="13"/>
      <c r="E10" s="4"/>
      <c r="F10" s="8"/>
      <c r="G10" s="8"/>
      <c r="H10" s="9"/>
      <c r="I10" s="5"/>
      <c r="J10" s="5"/>
      <c r="K10" s="10"/>
      <c r="L10" s="11"/>
    </row>
    <row r="11" spans="1:12" ht="15.75" customHeight="1" x14ac:dyDescent="0.3">
      <c r="A11" s="2" t="s">
        <v>202</v>
      </c>
      <c r="B11" s="3"/>
      <c r="C11" s="3"/>
      <c r="D11" s="13"/>
      <c r="E11" s="4"/>
      <c r="F11" s="8"/>
      <c r="G11" s="8"/>
      <c r="H11" s="9"/>
      <c r="I11" s="5"/>
      <c r="J11" s="5"/>
      <c r="K11" s="10"/>
      <c r="L11" s="11"/>
    </row>
    <row r="12" spans="1:12" ht="15.75" customHeight="1" x14ac:dyDescent="0.3">
      <c r="A12" s="2" t="s">
        <v>2</v>
      </c>
      <c r="B12" s="3"/>
      <c r="C12" s="3"/>
      <c r="D12" s="13"/>
      <c r="E12" s="4"/>
      <c r="F12" s="8"/>
      <c r="G12" s="8"/>
      <c r="H12" s="9"/>
      <c r="I12" s="5"/>
      <c r="J12" s="5"/>
      <c r="K12" s="10"/>
      <c r="L12" s="11"/>
    </row>
    <row r="13" spans="1:12" ht="15.75" customHeight="1" x14ac:dyDescent="0.3">
      <c r="A13" s="2" t="s">
        <v>203</v>
      </c>
      <c r="B13" s="3"/>
      <c r="C13" s="3"/>
      <c r="D13" s="13"/>
      <c r="E13" s="4"/>
      <c r="F13" s="8"/>
      <c r="G13" s="8"/>
      <c r="H13" s="9"/>
      <c r="I13" s="5"/>
      <c r="J13" s="5"/>
      <c r="K13" s="10"/>
      <c r="L13" s="11"/>
    </row>
    <row r="14" spans="1:12" ht="15.75" customHeight="1" x14ac:dyDescent="0.3">
      <c r="A14" s="2" t="s">
        <v>204</v>
      </c>
      <c r="B14" s="3"/>
      <c r="C14" s="3"/>
      <c r="D14" s="13"/>
      <c r="E14" s="4"/>
      <c r="F14" s="8"/>
      <c r="G14" s="8"/>
      <c r="H14" s="9"/>
      <c r="I14" s="5"/>
      <c r="J14" s="5"/>
      <c r="K14" s="10"/>
      <c r="L14" s="11"/>
    </row>
    <row r="15" spans="1:12" ht="15.75" customHeight="1" x14ac:dyDescent="0.3">
      <c r="A15" s="2" t="s">
        <v>205</v>
      </c>
      <c r="B15" s="3"/>
      <c r="C15" s="3"/>
      <c r="D15" s="13"/>
      <c r="E15" s="4"/>
      <c r="F15" s="8"/>
      <c r="G15" s="8"/>
      <c r="H15" s="9"/>
      <c r="I15" s="5"/>
      <c r="J15" s="5"/>
      <c r="K15" s="10"/>
      <c r="L15" s="11"/>
    </row>
    <row r="16" spans="1:12" ht="15.75" customHeight="1" x14ac:dyDescent="0.3">
      <c r="A16" s="2" t="s">
        <v>206</v>
      </c>
      <c r="B16" s="3"/>
      <c r="C16" s="3"/>
      <c r="D16" s="13"/>
      <c r="E16" s="4"/>
      <c r="F16" s="8"/>
      <c r="G16" s="8"/>
      <c r="H16" s="9"/>
      <c r="I16" s="5"/>
      <c r="J16" s="5"/>
      <c r="K16" s="10"/>
      <c r="L16" s="11"/>
    </row>
    <row r="17" spans="1:12" ht="15.75" customHeight="1" x14ac:dyDescent="0.3">
      <c r="A17" s="2" t="s">
        <v>207</v>
      </c>
      <c r="B17" s="3"/>
      <c r="C17" s="3"/>
      <c r="D17" s="13"/>
      <c r="E17" s="4"/>
      <c r="F17" s="8"/>
      <c r="G17" s="8"/>
      <c r="H17" s="9"/>
      <c r="I17" s="5"/>
      <c r="J17" s="5"/>
      <c r="K17" s="10"/>
      <c r="L17" s="11"/>
    </row>
    <row r="18" spans="1:12" ht="15.75" customHeight="1" x14ac:dyDescent="0.3">
      <c r="A18" s="2" t="s">
        <v>208</v>
      </c>
      <c r="B18" s="3"/>
      <c r="C18" s="3"/>
      <c r="D18" s="13"/>
      <c r="E18" s="4"/>
      <c r="F18" s="8"/>
      <c r="G18" s="8"/>
      <c r="H18" s="9"/>
      <c r="I18" s="5"/>
      <c r="J18" s="5"/>
      <c r="K18" s="10"/>
      <c r="L18" s="11"/>
    </row>
    <row r="19" spans="1:12" ht="15.75" customHeight="1" x14ac:dyDescent="0.3">
      <c r="A19" s="2" t="s">
        <v>209</v>
      </c>
      <c r="B19" s="3"/>
      <c r="C19" s="3"/>
      <c r="D19" s="13"/>
      <c r="E19" s="4"/>
      <c r="F19" s="8"/>
      <c r="G19" s="8"/>
      <c r="H19" s="9"/>
      <c r="I19" s="5"/>
      <c r="J19" s="5"/>
      <c r="K19" s="10"/>
      <c r="L19" s="11"/>
    </row>
    <row r="20" spans="1:12" ht="15.75" customHeight="1" x14ac:dyDescent="0.3">
      <c r="A20" s="2" t="s">
        <v>210</v>
      </c>
      <c r="B20" s="3"/>
      <c r="C20" s="3"/>
      <c r="D20" s="13"/>
      <c r="E20" s="4"/>
      <c r="F20" s="8"/>
      <c r="G20" s="8"/>
      <c r="H20" s="9"/>
      <c r="I20" s="5"/>
      <c r="J20" s="5"/>
      <c r="K20" s="10"/>
      <c r="L20" s="11"/>
    </row>
    <row r="21" spans="1:12" ht="15.75" customHeight="1" x14ac:dyDescent="0.3">
      <c r="A21" s="2" t="s">
        <v>211</v>
      </c>
      <c r="B21" s="3"/>
      <c r="C21" s="3"/>
      <c r="D21" s="13"/>
      <c r="E21" s="4"/>
      <c r="F21" s="8"/>
      <c r="G21" s="8"/>
      <c r="H21" s="9"/>
      <c r="I21" s="5"/>
      <c r="J21" s="5"/>
      <c r="K21" s="10"/>
      <c r="L21" s="11"/>
    </row>
    <row r="22" spans="1:12" ht="15.75" customHeight="1" x14ac:dyDescent="0.3">
      <c r="A22" s="2" t="s">
        <v>212</v>
      </c>
      <c r="B22" s="3"/>
      <c r="C22" s="3"/>
      <c r="D22" s="13"/>
      <c r="E22" s="4"/>
      <c r="F22" s="8"/>
      <c r="G22" s="8"/>
      <c r="H22" s="9"/>
      <c r="I22" s="5"/>
      <c r="J22" s="5"/>
      <c r="K22" s="10"/>
      <c r="L22" s="11"/>
    </row>
    <row r="23" spans="1:12" ht="15.75" customHeight="1" x14ac:dyDescent="0.3">
      <c r="A23" s="2" t="s">
        <v>213</v>
      </c>
      <c r="B23" s="3"/>
      <c r="C23" s="3"/>
      <c r="D23" s="13"/>
      <c r="E23" s="4"/>
      <c r="F23" s="8"/>
      <c r="G23" s="8"/>
      <c r="H23" s="9"/>
      <c r="I23" s="5"/>
      <c r="J23" s="5"/>
      <c r="K23" s="10"/>
      <c r="L23" s="11"/>
    </row>
    <row r="24" spans="1:12" ht="15.75" customHeight="1" x14ac:dyDescent="0.3">
      <c r="A24" s="2" t="s">
        <v>214</v>
      </c>
      <c r="B24" s="3"/>
      <c r="C24" s="3"/>
      <c r="D24" s="13"/>
      <c r="E24" s="4"/>
      <c r="F24" s="8"/>
      <c r="G24" s="8"/>
      <c r="H24" s="9"/>
      <c r="I24" s="5"/>
      <c r="J24" s="5"/>
      <c r="K24" s="10"/>
      <c r="L24" s="11"/>
    </row>
    <row r="25" spans="1:12" x14ac:dyDescent="0.3">
      <c r="A25" s="2" t="s">
        <v>215</v>
      </c>
      <c r="B25" s="3"/>
      <c r="C25" s="3"/>
      <c r="D25" s="13"/>
      <c r="E25" s="4"/>
      <c r="F25" s="8"/>
      <c r="G25" s="8"/>
      <c r="H25" s="9"/>
      <c r="I25" s="5"/>
      <c r="J25" s="5"/>
      <c r="K25" s="10"/>
      <c r="L25" s="11"/>
    </row>
    <row r="26" spans="1:12" x14ac:dyDescent="0.3">
      <c r="A26" s="2" t="s">
        <v>216</v>
      </c>
      <c r="B26" s="3"/>
      <c r="C26" s="3"/>
      <c r="D26" s="13"/>
      <c r="E26" s="4"/>
      <c r="F26" s="8"/>
      <c r="G26" s="8"/>
      <c r="H26" s="9"/>
      <c r="I26" s="5"/>
      <c r="J26" s="5"/>
      <c r="K26" s="10"/>
      <c r="L26" s="11"/>
    </row>
    <row r="27" spans="1:12" x14ac:dyDescent="0.3">
      <c r="A27" s="2" t="s">
        <v>217</v>
      </c>
      <c r="B27" s="3"/>
      <c r="C27" s="3"/>
      <c r="D27" s="13"/>
      <c r="E27" s="4"/>
      <c r="F27" s="8"/>
      <c r="G27" s="8"/>
      <c r="H27" s="9"/>
      <c r="I27" s="5"/>
      <c r="J27" s="5"/>
      <c r="K27" s="10"/>
      <c r="L27" s="11"/>
    </row>
    <row r="28" spans="1:12" x14ac:dyDescent="0.3">
      <c r="A28" s="2" t="s">
        <v>218</v>
      </c>
      <c r="B28" s="3"/>
      <c r="C28" s="3"/>
      <c r="D28" s="13"/>
      <c r="E28" s="4"/>
      <c r="F28" s="8"/>
      <c r="G28" s="8"/>
      <c r="H28" s="9"/>
      <c r="I28" s="5"/>
      <c r="J28" s="5"/>
      <c r="K28" s="10"/>
      <c r="L28" s="11"/>
    </row>
    <row r="29" spans="1:12" x14ac:dyDescent="0.3">
      <c r="A29" s="2" t="s">
        <v>219</v>
      </c>
      <c r="B29" s="3"/>
      <c r="C29" s="3"/>
      <c r="D29" s="13"/>
      <c r="E29" s="4"/>
      <c r="F29" s="8"/>
      <c r="G29" s="8"/>
      <c r="H29" s="9"/>
      <c r="I29" s="5"/>
      <c r="J29" s="5"/>
      <c r="K29" s="10"/>
      <c r="L29" s="11"/>
    </row>
    <row r="30" spans="1:12" x14ac:dyDescent="0.3">
      <c r="A30" s="2" t="s">
        <v>220</v>
      </c>
      <c r="B30" s="3"/>
      <c r="C30" s="3"/>
      <c r="D30" s="13"/>
      <c r="E30" s="4"/>
      <c r="F30" s="8"/>
      <c r="G30" s="8"/>
      <c r="H30" s="9"/>
      <c r="I30" s="5"/>
      <c r="J30" s="5"/>
      <c r="K30" s="10"/>
      <c r="L30" s="11"/>
    </row>
    <row r="31" spans="1:12" x14ac:dyDescent="0.3">
      <c r="A31" s="2" t="s">
        <v>221</v>
      </c>
      <c r="B31" s="3"/>
      <c r="C31" s="3"/>
      <c r="D31" s="13"/>
      <c r="E31" s="4"/>
      <c r="F31" s="8"/>
      <c r="G31" s="8"/>
      <c r="H31" s="9"/>
      <c r="I31" s="5"/>
      <c r="J31" s="5"/>
      <c r="K31" s="10"/>
      <c r="L31" s="11"/>
    </row>
    <row r="32" spans="1:12" x14ac:dyDescent="0.3">
      <c r="A32" s="2" t="s">
        <v>222</v>
      </c>
      <c r="B32" s="3"/>
      <c r="C32" s="3"/>
      <c r="D32" s="13"/>
      <c r="E32" s="4"/>
      <c r="F32" s="8"/>
      <c r="G32" s="8"/>
      <c r="H32" s="9"/>
      <c r="I32" s="5"/>
      <c r="J32" s="5"/>
      <c r="K32" s="10"/>
      <c r="L32" s="11"/>
    </row>
    <row r="33" spans="1:12" x14ac:dyDescent="0.3">
      <c r="A33" s="2" t="s">
        <v>223</v>
      </c>
      <c r="B33" s="3"/>
      <c r="C33" s="3"/>
      <c r="D33" s="13"/>
      <c r="E33" s="4"/>
      <c r="F33" s="8"/>
      <c r="G33" s="8"/>
      <c r="H33" s="9"/>
      <c r="I33" s="5"/>
      <c r="J33" s="5"/>
      <c r="K33" s="10"/>
      <c r="L33" s="11"/>
    </row>
    <row r="34" spans="1:12" x14ac:dyDescent="0.3">
      <c r="A34" s="2" t="s">
        <v>224</v>
      </c>
      <c r="B34" s="3"/>
      <c r="C34" s="3"/>
      <c r="D34" s="13"/>
      <c r="E34" s="4"/>
      <c r="F34" s="8"/>
      <c r="G34" s="8"/>
      <c r="H34" s="9"/>
      <c r="I34" s="5"/>
      <c r="J34" s="5"/>
      <c r="K34" s="10"/>
      <c r="L34" s="11"/>
    </row>
    <row r="35" spans="1:12" x14ac:dyDescent="0.3">
      <c r="A35" s="2" t="s">
        <v>225</v>
      </c>
      <c r="B35" s="3"/>
      <c r="C35" s="3"/>
      <c r="D35" s="13"/>
      <c r="E35" s="4"/>
      <c r="F35" s="8"/>
      <c r="G35" s="8"/>
      <c r="H35" s="9"/>
      <c r="I35" s="5"/>
      <c r="J35" s="5"/>
      <c r="K35" s="10"/>
      <c r="L35" s="11"/>
    </row>
    <row r="36" spans="1:12" x14ac:dyDescent="0.3">
      <c r="A36" s="2" t="s">
        <v>226</v>
      </c>
      <c r="B36" s="3"/>
      <c r="C36" s="3"/>
      <c r="D36" s="13"/>
      <c r="E36" s="4"/>
      <c r="F36" s="8"/>
      <c r="G36" s="8"/>
      <c r="H36" s="9"/>
      <c r="I36" s="5"/>
      <c r="J36" s="5"/>
      <c r="K36" s="10"/>
      <c r="L36" s="11"/>
    </row>
    <row r="37" spans="1:12" x14ac:dyDescent="0.3">
      <c r="A37" s="2" t="s">
        <v>227</v>
      </c>
      <c r="B37" s="3"/>
      <c r="C37" s="3"/>
      <c r="D37" s="13"/>
      <c r="E37" s="4"/>
      <c r="F37" s="8"/>
      <c r="G37" s="8"/>
      <c r="H37" s="9"/>
      <c r="I37" s="5"/>
      <c r="J37" s="5"/>
      <c r="K37" s="10"/>
      <c r="L37" s="11"/>
    </row>
    <row r="38" spans="1:12" x14ac:dyDescent="0.3">
      <c r="A38" s="2" t="s">
        <v>228</v>
      </c>
      <c r="B38" s="3"/>
      <c r="C38" s="3"/>
      <c r="D38" s="13"/>
      <c r="E38" s="4"/>
      <c r="F38" s="8"/>
      <c r="G38" s="8"/>
      <c r="H38" s="9"/>
      <c r="I38" s="5"/>
      <c r="J38" s="5"/>
      <c r="K38" s="10"/>
      <c r="L38" s="11"/>
    </row>
    <row r="39" spans="1:12" x14ac:dyDescent="0.3">
      <c r="A39" s="2" t="s">
        <v>229</v>
      </c>
      <c r="B39" s="3"/>
      <c r="C39" s="3"/>
      <c r="D39" s="13"/>
      <c r="E39" s="4"/>
      <c r="F39" s="8"/>
      <c r="G39" s="8"/>
      <c r="H39" s="9"/>
      <c r="I39" s="5"/>
      <c r="J39" s="5"/>
      <c r="K39" s="10"/>
      <c r="L39" s="11"/>
    </row>
    <row r="40" spans="1:12" x14ac:dyDescent="0.3">
      <c r="A40" s="2" t="s">
        <v>230</v>
      </c>
      <c r="B40" s="3"/>
      <c r="C40" s="3"/>
      <c r="D40" s="13"/>
      <c r="E40" s="4"/>
      <c r="F40" s="8"/>
      <c r="G40" s="8"/>
      <c r="H40" s="9"/>
      <c r="I40" s="5"/>
      <c r="J40" s="5"/>
      <c r="K40" s="10"/>
      <c r="L40" s="11"/>
    </row>
    <row r="41" spans="1:12" x14ac:dyDescent="0.3">
      <c r="A41" s="2" t="s">
        <v>231</v>
      </c>
      <c r="B41" s="3"/>
      <c r="C41" s="3"/>
      <c r="D41" s="13"/>
      <c r="E41" s="4"/>
      <c r="F41" s="8"/>
      <c r="G41" s="8"/>
      <c r="H41" s="9"/>
      <c r="I41" s="5"/>
      <c r="J41" s="5"/>
      <c r="K41" s="10"/>
      <c r="L41" s="11"/>
    </row>
    <row r="42" spans="1:12" x14ac:dyDescent="0.3">
      <c r="A42" s="2" t="s">
        <v>232</v>
      </c>
      <c r="B42" s="3"/>
      <c r="C42" s="3"/>
      <c r="D42" s="13"/>
      <c r="E42" s="4"/>
      <c r="F42" s="8"/>
      <c r="G42" s="8"/>
      <c r="H42" s="9"/>
      <c r="I42" s="5"/>
      <c r="J42" s="5"/>
      <c r="K42" s="10"/>
      <c r="L42" s="11"/>
    </row>
    <row r="43" spans="1:12" x14ac:dyDescent="0.3">
      <c r="A43" s="2" t="s">
        <v>233</v>
      </c>
      <c r="B43" s="3"/>
      <c r="C43" s="3"/>
      <c r="D43" s="13"/>
      <c r="E43" s="4"/>
      <c r="F43" s="8"/>
      <c r="G43" s="8"/>
      <c r="H43" s="9"/>
      <c r="I43" s="5"/>
      <c r="J43" s="5"/>
      <c r="K43" s="10"/>
      <c r="L43" s="11"/>
    </row>
    <row r="44" spans="1:12" ht="15" thickBot="1" x14ac:dyDescent="0.35">
      <c r="A44" s="14" t="s">
        <v>234</v>
      </c>
      <c r="B44" s="15"/>
      <c r="C44" s="15"/>
      <c r="D44" s="16"/>
      <c r="E44" s="17"/>
      <c r="F44" s="18"/>
      <c r="G44" s="18"/>
      <c r="H44" s="19"/>
      <c r="I44" s="20"/>
      <c r="J44" s="20"/>
      <c r="K44" s="21"/>
      <c r="L44" s="22"/>
    </row>
    <row r="45" spans="1:12" ht="15" thickBot="1" x14ac:dyDescent="0.35">
      <c r="A45" s="32" t="s">
        <v>235</v>
      </c>
      <c r="B45" s="33"/>
      <c r="C45" s="33"/>
      <c r="D45" s="34"/>
      <c r="E45" s="35"/>
      <c r="F45" s="36"/>
      <c r="G45" s="36"/>
      <c r="H45" s="37"/>
      <c r="I45" s="38"/>
      <c r="J45" s="38"/>
      <c r="K45" s="39"/>
      <c r="L45" s="40"/>
    </row>
    <row r="46" spans="1:12" x14ac:dyDescent="0.3">
      <c r="A46" s="23" t="s">
        <v>236</v>
      </c>
      <c r="B46" s="24"/>
      <c r="C46" s="24"/>
      <c r="D46" s="25"/>
      <c r="E46" s="26"/>
      <c r="F46" s="27"/>
      <c r="G46" s="27"/>
      <c r="H46" s="28"/>
      <c r="I46" s="29"/>
      <c r="J46" s="29"/>
      <c r="K46" s="30"/>
      <c r="L46" s="31"/>
    </row>
    <row r="47" spans="1:12" x14ac:dyDescent="0.3">
      <c r="A47" s="2" t="s">
        <v>237</v>
      </c>
      <c r="B47" s="3"/>
      <c r="C47" s="3"/>
      <c r="D47" s="13"/>
      <c r="E47" s="4"/>
      <c r="F47" s="8"/>
      <c r="G47" s="8"/>
      <c r="H47" s="9"/>
      <c r="I47" s="5"/>
      <c r="J47" s="5"/>
      <c r="K47" s="10"/>
      <c r="L47" s="11"/>
    </row>
    <row r="48" spans="1:12" x14ac:dyDescent="0.3">
      <c r="A48" s="2" t="s">
        <v>238</v>
      </c>
      <c r="B48" s="3"/>
      <c r="C48" s="3"/>
      <c r="D48" s="13"/>
      <c r="E48" s="4"/>
      <c r="F48" s="8"/>
      <c r="G48" s="8"/>
      <c r="H48" s="9"/>
      <c r="I48" s="5"/>
      <c r="J48" s="5"/>
      <c r="K48" s="10"/>
      <c r="L48" s="11"/>
    </row>
    <row r="49" spans="1:12" x14ac:dyDescent="0.3">
      <c r="A49" s="2" t="s">
        <v>239</v>
      </c>
      <c r="B49" s="3"/>
      <c r="C49" s="3"/>
      <c r="D49" s="13"/>
      <c r="E49" s="4"/>
      <c r="F49" s="8"/>
      <c r="G49" s="8"/>
      <c r="H49" s="9"/>
      <c r="I49" s="5"/>
      <c r="J49" s="5"/>
      <c r="K49" s="10"/>
      <c r="L49" s="11"/>
    </row>
    <row r="50" spans="1:12" x14ac:dyDescent="0.3">
      <c r="A50" s="2" t="s">
        <v>240</v>
      </c>
      <c r="B50" s="3"/>
      <c r="C50" s="3"/>
      <c r="D50" s="13"/>
      <c r="E50" s="4"/>
      <c r="F50" s="8"/>
      <c r="G50" s="8"/>
      <c r="H50" s="9"/>
      <c r="I50" s="5"/>
      <c r="J50" s="5"/>
      <c r="K50" s="10"/>
      <c r="L50" s="11"/>
    </row>
    <row r="51" spans="1:12" x14ac:dyDescent="0.3">
      <c r="A51" s="2" t="s">
        <v>241</v>
      </c>
      <c r="B51" s="3"/>
      <c r="C51" s="3"/>
      <c r="D51" s="13"/>
      <c r="E51" s="4"/>
      <c r="F51" s="8"/>
      <c r="G51" s="8"/>
      <c r="H51" s="9"/>
      <c r="I51" s="5"/>
      <c r="J51" s="5"/>
      <c r="K51" s="10"/>
      <c r="L51" s="11"/>
    </row>
    <row r="52" spans="1:12" x14ac:dyDescent="0.3">
      <c r="A52" s="2" t="s">
        <v>242</v>
      </c>
      <c r="B52" s="3"/>
      <c r="C52" s="3"/>
      <c r="D52" s="13"/>
      <c r="E52" s="4"/>
      <c r="F52" s="8"/>
      <c r="G52" s="8"/>
      <c r="H52" s="9"/>
      <c r="I52" s="5"/>
      <c r="J52" s="5"/>
      <c r="K52" s="10"/>
      <c r="L52" s="11"/>
    </row>
    <row r="53" spans="1:12" x14ac:dyDescent="0.3">
      <c r="A53" s="2" t="s">
        <v>243</v>
      </c>
      <c r="B53" s="3"/>
      <c r="C53" s="3"/>
      <c r="D53" s="13"/>
      <c r="E53" s="4"/>
      <c r="F53" s="8"/>
      <c r="G53" s="8"/>
      <c r="H53" s="9"/>
      <c r="I53" s="5"/>
      <c r="J53" s="5"/>
      <c r="K53" s="10"/>
      <c r="L53" s="11"/>
    </row>
    <row r="54" spans="1:12" x14ac:dyDescent="0.3">
      <c r="A54" s="2" t="s">
        <v>244</v>
      </c>
      <c r="B54" s="3"/>
      <c r="C54" s="3"/>
      <c r="D54" s="13"/>
      <c r="E54" s="4"/>
      <c r="F54" s="8"/>
      <c r="G54" s="8"/>
      <c r="H54" s="9"/>
      <c r="I54" s="5"/>
      <c r="J54" s="5"/>
      <c r="K54" s="10"/>
      <c r="L54" s="11"/>
    </row>
    <row r="55" spans="1:12" x14ac:dyDescent="0.3">
      <c r="A55" s="2" t="s">
        <v>245</v>
      </c>
      <c r="B55" s="3"/>
      <c r="C55" s="3"/>
      <c r="D55" s="13"/>
      <c r="E55" s="4"/>
      <c r="F55" s="8"/>
      <c r="G55" s="8"/>
      <c r="H55" s="9"/>
      <c r="I55" s="5"/>
      <c r="J55" s="5"/>
      <c r="K55" s="10"/>
      <c r="L55" s="11"/>
    </row>
    <row r="56" spans="1:12" x14ac:dyDescent="0.3">
      <c r="A56" s="2" t="s">
        <v>246</v>
      </c>
      <c r="B56" s="3"/>
      <c r="C56" s="3"/>
      <c r="D56" s="13"/>
      <c r="E56" s="4"/>
      <c r="F56" s="8"/>
      <c r="G56" s="8"/>
      <c r="H56" s="9"/>
      <c r="I56" s="5"/>
      <c r="J56" s="5"/>
      <c r="K56" s="10"/>
      <c r="L56" s="11"/>
    </row>
    <row r="57" spans="1:12" x14ac:dyDescent="0.3">
      <c r="A57" s="2" t="s">
        <v>247</v>
      </c>
      <c r="B57" s="3"/>
      <c r="C57" s="3"/>
      <c r="D57" s="13"/>
      <c r="E57" s="4"/>
      <c r="F57" s="8"/>
      <c r="G57" s="8"/>
      <c r="H57" s="9"/>
      <c r="I57" s="5"/>
      <c r="J57" s="5"/>
      <c r="K57" s="10"/>
      <c r="L57" s="11"/>
    </row>
    <row r="58" spans="1:12" x14ac:dyDescent="0.3">
      <c r="A58" s="2" t="s">
        <v>248</v>
      </c>
      <c r="B58" s="3"/>
      <c r="C58" s="3"/>
      <c r="D58" s="13"/>
      <c r="E58" s="4"/>
      <c r="F58" s="8"/>
      <c r="G58" s="8"/>
      <c r="H58" s="9"/>
      <c r="I58" s="5"/>
      <c r="J58" s="5"/>
      <c r="K58" s="10"/>
      <c r="L58" s="11"/>
    </row>
    <row r="59" spans="1:12" x14ac:dyDescent="0.3">
      <c r="A59" s="2" t="s">
        <v>249</v>
      </c>
      <c r="B59" s="3"/>
      <c r="C59" s="3"/>
      <c r="D59" s="13"/>
      <c r="E59" s="4"/>
      <c r="F59" s="8"/>
      <c r="G59" s="8"/>
      <c r="H59" s="9"/>
      <c r="I59" s="5"/>
      <c r="J59" s="5"/>
      <c r="K59" s="10"/>
      <c r="L59" s="11"/>
    </row>
    <row r="60" spans="1:12" x14ac:dyDescent="0.3">
      <c r="A60" s="2" t="s">
        <v>250</v>
      </c>
      <c r="B60" s="3"/>
      <c r="C60" s="3"/>
      <c r="D60" s="13"/>
      <c r="E60" s="4"/>
      <c r="F60" s="8"/>
      <c r="G60" s="8"/>
      <c r="H60" s="9"/>
      <c r="I60" s="5"/>
      <c r="J60" s="5"/>
      <c r="K60" s="10"/>
      <c r="L60" s="11"/>
    </row>
    <row r="61" spans="1:12" x14ac:dyDescent="0.3">
      <c r="A61" s="2" t="s">
        <v>251</v>
      </c>
      <c r="B61" s="3"/>
      <c r="C61" s="3"/>
      <c r="D61" s="13"/>
      <c r="E61" s="4"/>
      <c r="F61" s="8"/>
      <c r="G61" s="8"/>
      <c r="H61" s="9"/>
      <c r="I61" s="5"/>
      <c r="J61" s="5"/>
      <c r="K61" s="10"/>
      <c r="L61" s="11"/>
    </row>
    <row r="62" spans="1:12" x14ac:dyDescent="0.3">
      <c r="A62" s="2" t="s">
        <v>252</v>
      </c>
      <c r="B62" s="3"/>
      <c r="C62" s="3"/>
      <c r="D62" s="13"/>
      <c r="E62" s="4"/>
      <c r="F62" s="8"/>
      <c r="G62" s="8"/>
      <c r="H62" s="9"/>
      <c r="I62" s="5"/>
      <c r="J62" s="5"/>
      <c r="K62" s="10"/>
      <c r="L62" s="11"/>
    </row>
    <row r="63" spans="1:12" x14ac:dyDescent="0.3">
      <c r="A63" t="s">
        <v>253</v>
      </c>
    </row>
    <row r="64" spans="1:12" x14ac:dyDescent="0.3">
      <c r="A64" t="s">
        <v>254</v>
      </c>
    </row>
    <row r="65" spans="1:1" x14ac:dyDescent="0.3">
      <c r="A65" t="s">
        <v>255</v>
      </c>
    </row>
    <row r="66" spans="1:1" x14ac:dyDescent="0.3">
      <c r="A66" t="s">
        <v>256</v>
      </c>
    </row>
    <row r="67" spans="1:1" x14ac:dyDescent="0.3">
      <c r="A67" t="s">
        <v>257</v>
      </c>
    </row>
    <row r="68" spans="1:1" x14ac:dyDescent="0.3">
      <c r="A68" t="s">
        <v>258</v>
      </c>
    </row>
    <row r="69" spans="1:1" x14ac:dyDescent="0.3">
      <c r="A69" t="s">
        <v>259</v>
      </c>
    </row>
    <row r="70" spans="1:1" x14ac:dyDescent="0.3">
      <c r="A70" t="s">
        <v>260</v>
      </c>
    </row>
    <row r="71" spans="1:1" x14ac:dyDescent="0.3">
      <c r="A71" t="s">
        <v>261</v>
      </c>
    </row>
    <row r="72" spans="1:1" x14ac:dyDescent="0.3">
      <c r="A72" t="s">
        <v>262</v>
      </c>
    </row>
    <row r="73" spans="1:1" x14ac:dyDescent="0.3">
      <c r="A73" t="s">
        <v>263</v>
      </c>
    </row>
    <row r="74" spans="1:1" x14ac:dyDescent="0.3">
      <c r="A74" t="s">
        <v>264</v>
      </c>
    </row>
    <row r="75" spans="1:1" x14ac:dyDescent="0.3">
      <c r="A75" t="s">
        <v>265</v>
      </c>
    </row>
    <row r="76" spans="1:1" x14ac:dyDescent="0.3">
      <c r="A76" t="s">
        <v>266</v>
      </c>
    </row>
    <row r="77" spans="1:1" x14ac:dyDescent="0.3">
      <c r="A77" t="s">
        <v>267</v>
      </c>
    </row>
    <row r="78" spans="1:1" x14ac:dyDescent="0.3">
      <c r="A78" t="s">
        <v>268</v>
      </c>
    </row>
    <row r="79" spans="1:1" x14ac:dyDescent="0.3">
      <c r="A79" t="s">
        <v>269</v>
      </c>
    </row>
    <row r="80" spans="1:1" x14ac:dyDescent="0.3">
      <c r="A80" t="s">
        <v>270</v>
      </c>
    </row>
    <row r="81" spans="1:1" x14ac:dyDescent="0.3">
      <c r="A81" t="s">
        <v>271</v>
      </c>
    </row>
    <row r="82" spans="1:1" x14ac:dyDescent="0.3">
      <c r="A82" t="s">
        <v>272</v>
      </c>
    </row>
    <row r="83" spans="1:1" x14ac:dyDescent="0.3">
      <c r="A83" t="s">
        <v>273</v>
      </c>
    </row>
    <row r="84" spans="1:1" x14ac:dyDescent="0.3">
      <c r="A84" t="s">
        <v>274</v>
      </c>
    </row>
    <row r="85" spans="1:1" x14ac:dyDescent="0.3">
      <c r="A85" t="s">
        <v>275</v>
      </c>
    </row>
    <row r="86" spans="1:1" x14ac:dyDescent="0.3">
      <c r="A86" t="s">
        <v>276</v>
      </c>
    </row>
    <row r="87" spans="1:1" x14ac:dyDescent="0.3">
      <c r="A87" t="s">
        <v>277</v>
      </c>
    </row>
    <row r="88" spans="1:1" x14ac:dyDescent="0.3">
      <c r="A88" t="s">
        <v>278</v>
      </c>
    </row>
    <row r="89" spans="1:1" x14ac:dyDescent="0.3">
      <c r="A89" t="s">
        <v>279</v>
      </c>
    </row>
    <row r="90" spans="1:1" x14ac:dyDescent="0.3">
      <c r="A90" t="s">
        <v>280</v>
      </c>
    </row>
    <row r="91" spans="1:1" x14ac:dyDescent="0.3">
      <c r="A91" t="s">
        <v>281</v>
      </c>
    </row>
    <row r="92" spans="1:1" x14ac:dyDescent="0.3">
      <c r="A92" t="s">
        <v>282</v>
      </c>
    </row>
    <row r="93" spans="1:1" x14ac:dyDescent="0.3">
      <c r="A93" t="s">
        <v>283</v>
      </c>
    </row>
    <row r="94" spans="1:1" x14ac:dyDescent="0.3">
      <c r="A94" t="s">
        <v>284</v>
      </c>
    </row>
    <row r="95" spans="1:1" x14ac:dyDescent="0.3">
      <c r="A95" t="s">
        <v>285</v>
      </c>
    </row>
    <row r="96" spans="1:1" x14ac:dyDescent="0.3">
      <c r="A96" t="s">
        <v>286</v>
      </c>
    </row>
    <row r="97" spans="1:1" x14ac:dyDescent="0.3">
      <c r="A97" t="s">
        <v>287</v>
      </c>
    </row>
    <row r="98" spans="1:1" x14ac:dyDescent="0.3">
      <c r="A98" t="s">
        <v>288</v>
      </c>
    </row>
    <row r="99" spans="1:1" x14ac:dyDescent="0.3">
      <c r="A99" t="s">
        <v>289</v>
      </c>
    </row>
    <row r="100" spans="1:1" x14ac:dyDescent="0.3">
      <c r="A100" t="s">
        <v>290</v>
      </c>
    </row>
    <row r="101" spans="1:1" x14ac:dyDescent="0.3">
      <c r="A101" t="s">
        <v>291</v>
      </c>
    </row>
    <row r="102" spans="1:1" x14ac:dyDescent="0.3">
      <c r="A102" t="s">
        <v>292</v>
      </c>
    </row>
    <row r="103" spans="1:1" x14ac:dyDescent="0.3">
      <c r="A103" t="s">
        <v>293</v>
      </c>
    </row>
    <row r="104" spans="1:1" x14ac:dyDescent="0.3">
      <c r="A104" t="s">
        <v>294</v>
      </c>
    </row>
    <row r="105" spans="1:1" x14ac:dyDescent="0.3">
      <c r="A105" t="s">
        <v>295</v>
      </c>
    </row>
    <row r="106" spans="1:1" x14ac:dyDescent="0.3">
      <c r="A106" t="s">
        <v>296</v>
      </c>
    </row>
    <row r="107" spans="1:1" x14ac:dyDescent="0.3">
      <c r="A107" t="s">
        <v>297</v>
      </c>
    </row>
    <row r="108" spans="1:1" x14ac:dyDescent="0.3">
      <c r="A108" t="s">
        <v>298</v>
      </c>
    </row>
    <row r="109" spans="1:1" x14ac:dyDescent="0.3">
      <c r="A109" t="s">
        <v>299</v>
      </c>
    </row>
    <row r="110" spans="1:1" x14ac:dyDescent="0.3">
      <c r="A110" t="s">
        <v>300</v>
      </c>
    </row>
    <row r="111" spans="1:1" x14ac:dyDescent="0.3">
      <c r="A111" t="s">
        <v>301</v>
      </c>
    </row>
    <row r="112" spans="1:1" x14ac:dyDescent="0.3">
      <c r="A112" t="s">
        <v>302</v>
      </c>
    </row>
    <row r="113" spans="1:1" x14ac:dyDescent="0.3">
      <c r="A113" t="s">
        <v>303</v>
      </c>
    </row>
    <row r="114" spans="1:1" x14ac:dyDescent="0.3">
      <c r="A114" t="s">
        <v>304</v>
      </c>
    </row>
    <row r="115" spans="1:1" x14ac:dyDescent="0.3">
      <c r="A115" t="s">
        <v>305</v>
      </c>
    </row>
    <row r="116" spans="1:1" x14ac:dyDescent="0.3">
      <c r="A116" t="s">
        <v>306</v>
      </c>
    </row>
    <row r="117" spans="1:1" x14ac:dyDescent="0.3">
      <c r="A117" t="s">
        <v>307</v>
      </c>
    </row>
    <row r="118" spans="1:1" x14ac:dyDescent="0.3">
      <c r="A118" t="s">
        <v>308</v>
      </c>
    </row>
    <row r="119" spans="1:1" x14ac:dyDescent="0.3">
      <c r="A119" t="s">
        <v>309</v>
      </c>
    </row>
    <row r="120" spans="1:1" x14ac:dyDescent="0.3">
      <c r="A120" t="s">
        <v>310</v>
      </c>
    </row>
    <row r="121" spans="1:1" x14ac:dyDescent="0.3">
      <c r="A121" t="s">
        <v>311</v>
      </c>
    </row>
    <row r="122" spans="1:1" x14ac:dyDescent="0.3">
      <c r="A122" t="s">
        <v>312</v>
      </c>
    </row>
    <row r="123" spans="1:1" x14ac:dyDescent="0.3">
      <c r="A123" t="s">
        <v>313</v>
      </c>
    </row>
    <row r="124" spans="1:1" x14ac:dyDescent="0.3">
      <c r="A124" t="s">
        <v>314</v>
      </c>
    </row>
    <row r="125" spans="1:1" x14ac:dyDescent="0.3">
      <c r="A125" t="s">
        <v>315</v>
      </c>
    </row>
    <row r="126" spans="1:1" x14ac:dyDescent="0.3">
      <c r="A126" t="s">
        <v>316</v>
      </c>
    </row>
    <row r="127" spans="1:1" x14ac:dyDescent="0.3">
      <c r="A127" t="s">
        <v>317</v>
      </c>
    </row>
    <row r="128" spans="1:1" x14ac:dyDescent="0.3">
      <c r="A128" t="s">
        <v>318</v>
      </c>
    </row>
    <row r="129" spans="1:1" x14ac:dyDescent="0.3">
      <c r="A129" t="s">
        <v>319</v>
      </c>
    </row>
    <row r="130" spans="1:1" x14ac:dyDescent="0.3">
      <c r="A130" t="s">
        <v>320</v>
      </c>
    </row>
    <row r="131" spans="1:1" x14ac:dyDescent="0.3">
      <c r="A131" t="s">
        <v>321</v>
      </c>
    </row>
    <row r="132" spans="1:1" x14ac:dyDescent="0.3">
      <c r="A132" t="s">
        <v>322</v>
      </c>
    </row>
    <row r="133" spans="1:1" x14ac:dyDescent="0.3">
      <c r="A133" t="s">
        <v>323</v>
      </c>
    </row>
    <row r="134" spans="1:1" x14ac:dyDescent="0.3">
      <c r="A134" t="s">
        <v>324</v>
      </c>
    </row>
    <row r="135" spans="1:1" x14ac:dyDescent="0.3">
      <c r="A135" t="s">
        <v>325</v>
      </c>
    </row>
    <row r="136" spans="1:1" x14ac:dyDescent="0.3">
      <c r="A136" t="s">
        <v>326</v>
      </c>
    </row>
    <row r="137" spans="1:1" x14ac:dyDescent="0.3">
      <c r="A137" t="s">
        <v>327</v>
      </c>
    </row>
    <row r="138" spans="1:1" x14ac:dyDescent="0.3">
      <c r="A138" t="s">
        <v>328</v>
      </c>
    </row>
    <row r="139" spans="1:1" x14ac:dyDescent="0.3">
      <c r="A139" t="s">
        <v>329</v>
      </c>
    </row>
    <row r="140" spans="1:1" x14ac:dyDescent="0.3">
      <c r="A140" t="s">
        <v>330</v>
      </c>
    </row>
    <row r="141" spans="1:1" x14ac:dyDescent="0.3">
      <c r="A141" t="s">
        <v>331</v>
      </c>
    </row>
    <row r="142" spans="1:1" x14ac:dyDescent="0.3">
      <c r="A142" t="s">
        <v>332</v>
      </c>
    </row>
    <row r="143" spans="1:1" x14ac:dyDescent="0.3">
      <c r="A143" t="s">
        <v>333</v>
      </c>
    </row>
    <row r="144" spans="1:1" x14ac:dyDescent="0.3">
      <c r="A144" t="s">
        <v>334</v>
      </c>
    </row>
    <row r="145" spans="1:1" x14ac:dyDescent="0.3">
      <c r="A145" t="s">
        <v>335</v>
      </c>
    </row>
    <row r="146" spans="1:1" x14ac:dyDescent="0.3">
      <c r="A146" t="s">
        <v>336</v>
      </c>
    </row>
    <row r="147" spans="1:1" x14ac:dyDescent="0.3">
      <c r="A147" t="s">
        <v>337</v>
      </c>
    </row>
    <row r="148" spans="1:1" x14ac:dyDescent="0.3">
      <c r="A148" t="s">
        <v>338</v>
      </c>
    </row>
    <row r="149" spans="1:1" x14ac:dyDescent="0.3">
      <c r="A149" t="s">
        <v>339</v>
      </c>
    </row>
    <row r="150" spans="1:1" x14ac:dyDescent="0.3">
      <c r="A150" t="s">
        <v>340</v>
      </c>
    </row>
    <row r="151" spans="1:1" x14ac:dyDescent="0.3">
      <c r="A151" t="s">
        <v>341</v>
      </c>
    </row>
    <row r="152" spans="1:1" x14ac:dyDescent="0.3">
      <c r="A152" t="s">
        <v>342</v>
      </c>
    </row>
    <row r="153" spans="1:1" x14ac:dyDescent="0.3">
      <c r="A153" t="s">
        <v>343</v>
      </c>
    </row>
    <row r="154" spans="1:1" x14ac:dyDescent="0.3">
      <c r="A154" t="s">
        <v>344</v>
      </c>
    </row>
    <row r="155" spans="1:1" x14ac:dyDescent="0.3">
      <c r="A155" t="s">
        <v>345</v>
      </c>
    </row>
    <row r="156" spans="1:1" x14ac:dyDescent="0.3">
      <c r="A156" t="s">
        <v>346</v>
      </c>
    </row>
    <row r="157" spans="1:1" x14ac:dyDescent="0.3">
      <c r="A157" t="s">
        <v>347</v>
      </c>
    </row>
    <row r="158" spans="1:1" x14ac:dyDescent="0.3">
      <c r="A158" t="s">
        <v>348</v>
      </c>
    </row>
    <row r="159" spans="1:1" x14ac:dyDescent="0.3">
      <c r="A159" t="s">
        <v>349</v>
      </c>
    </row>
    <row r="160" spans="1:1" x14ac:dyDescent="0.3">
      <c r="A160" t="s">
        <v>350</v>
      </c>
    </row>
    <row r="161" spans="1:1" x14ac:dyDescent="0.3">
      <c r="A161" t="s">
        <v>351</v>
      </c>
    </row>
    <row r="162" spans="1:1" x14ac:dyDescent="0.3">
      <c r="A162" t="s">
        <v>352</v>
      </c>
    </row>
    <row r="163" spans="1:1" x14ac:dyDescent="0.3">
      <c r="A163" t="s">
        <v>353</v>
      </c>
    </row>
    <row r="164" spans="1:1" x14ac:dyDescent="0.3">
      <c r="A164" t="s">
        <v>354</v>
      </c>
    </row>
    <row r="165" spans="1:1" x14ac:dyDescent="0.3">
      <c r="A165" t="s">
        <v>355</v>
      </c>
    </row>
    <row r="166" spans="1:1" x14ac:dyDescent="0.3">
      <c r="A166" t="s">
        <v>356</v>
      </c>
    </row>
    <row r="167" spans="1:1" x14ac:dyDescent="0.3">
      <c r="A167" t="s">
        <v>357</v>
      </c>
    </row>
    <row r="168" spans="1:1" x14ac:dyDescent="0.3">
      <c r="A168" t="s">
        <v>358</v>
      </c>
    </row>
    <row r="169" spans="1:1" x14ac:dyDescent="0.3">
      <c r="A169" t="s">
        <v>359</v>
      </c>
    </row>
    <row r="170" spans="1:1" x14ac:dyDescent="0.3">
      <c r="A170" t="s">
        <v>360</v>
      </c>
    </row>
    <row r="171" spans="1:1" x14ac:dyDescent="0.3">
      <c r="A171" t="s">
        <v>361</v>
      </c>
    </row>
    <row r="172" spans="1:1" x14ac:dyDescent="0.3">
      <c r="A172" t="s">
        <v>362</v>
      </c>
    </row>
    <row r="173" spans="1:1" x14ac:dyDescent="0.3">
      <c r="A173" t="s">
        <v>363</v>
      </c>
    </row>
    <row r="174" spans="1:1" x14ac:dyDescent="0.3">
      <c r="A174" t="s">
        <v>364</v>
      </c>
    </row>
    <row r="175" spans="1:1" x14ac:dyDescent="0.3">
      <c r="A175" t="s">
        <v>365</v>
      </c>
    </row>
    <row r="176" spans="1:1" x14ac:dyDescent="0.3">
      <c r="A176" t="s">
        <v>366</v>
      </c>
    </row>
    <row r="177" spans="1:1" x14ac:dyDescent="0.3">
      <c r="A177" t="s">
        <v>367</v>
      </c>
    </row>
    <row r="178" spans="1:1" x14ac:dyDescent="0.3">
      <c r="A178" t="s">
        <v>368</v>
      </c>
    </row>
    <row r="179" spans="1:1" x14ac:dyDescent="0.3">
      <c r="A179" t="s">
        <v>369</v>
      </c>
    </row>
    <row r="180" spans="1:1" x14ac:dyDescent="0.3">
      <c r="A180" t="s">
        <v>370</v>
      </c>
    </row>
    <row r="181" spans="1:1" x14ac:dyDescent="0.3">
      <c r="A181" t="s">
        <v>371</v>
      </c>
    </row>
    <row r="182" spans="1:1" x14ac:dyDescent="0.3">
      <c r="A182" t="s">
        <v>62</v>
      </c>
    </row>
    <row r="183" spans="1:1" x14ac:dyDescent="0.3">
      <c r="A183" t="s">
        <v>372</v>
      </c>
    </row>
    <row r="184" spans="1:1" x14ac:dyDescent="0.3">
      <c r="A184" t="s">
        <v>373</v>
      </c>
    </row>
    <row r="185" spans="1:1" x14ac:dyDescent="0.3">
      <c r="A185" t="s">
        <v>374</v>
      </c>
    </row>
    <row r="186" spans="1:1" x14ac:dyDescent="0.3">
      <c r="A186" t="s">
        <v>375</v>
      </c>
    </row>
    <row r="187" spans="1:1" x14ac:dyDescent="0.3">
      <c r="A187" t="s">
        <v>376</v>
      </c>
    </row>
    <row r="188" spans="1:1" x14ac:dyDescent="0.3">
      <c r="A188" t="s">
        <v>377</v>
      </c>
    </row>
    <row r="189" spans="1:1" x14ac:dyDescent="0.3">
      <c r="A189" t="s">
        <v>378</v>
      </c>
    </row>
    <row r="190" spans="1:1" x14ac:dyDescent="0.3">
      <c r="A190" t="s">
        <v>379</v>
      </c>
    </row>
    <row r="191" spans="1:1" x14ac:dyDescent="0.3">
      <c r="A191" t="s">
        <v>380</v>
      </c>
    </row>
    <row r="192" spans="1:1" x14ac:dyDescent="0.3">
      <c r="A192" t="s">
        <v>381</v>
      </c>
    </row>
    <row r="193" spans="1:1" x14ac:dyDescent="0.3">
      <c r="A193" t="s">
        <v>382</v>
      </c>
    </row>
    <row r="194" spans="1:1" x14ac:dyDescent="0.3">
      <c r="A194" t="s">
        <v>383</v>
      </c>
    </row>
    <row r="195" spans="1:1" x14ac:dyDescent="0.3">
      <c r="A195" t="s">
        <v>384</v>
      </c>
    </row>
    <row r="196" spans="1:1" x14ac:dyDescent="0.3">
      <c r="A196" t="s">
        <v>385</v>
      </c>
    </row>
    <row r="197" spans="1:1" x14ac:dyDescent="0.3">
      <c r="A197" t="s">
        <v>386</v>
      </c>
    </row>
    <row r="198" spans="1:1" x14ac:dyDescent="0.3">
      <c r="A198" t="s">
        <v>387</v>
      </c>
    </row>
    <row r="199" spans="1:1" x14ac:dyDescent="0.3">
      <c r="A199" t="s">
        <v>388</v>
      </c>
    </row>
    <row r="200" spans="1:1" x14ac:dyDescent="0.3">
      <c r="A200" t="s">
        <v>389</v>
      </c>
    </row>
    <row r="201" spans="1:1" x14ac:dyDescent="0.3">
      <c r="A201" t="s">
        <v>390</v>
      </c>
    </row>
    <row r="202" spans="1:1" x14ac:dyDescent="0.3">
      <c r="A202" t="s">
        <v>391</v>
      </c>
    </row>
    <row r="203" spans="1:1" x14ac:dyDescent="0.3">
      <c r="A203" t="s">
        <v>392</v>
      </c>
    </row>
    <row r="204" spans="1:1" x14ac:dyDescent="0.3">
      <c r="A204" t="s">
        <v>393</v>
      </c>
    </row>
    <row r="205" spans="1:1" x14ac:dyDescent="0.3">
      <c r="A205" t="s">
        <v>394</v>
      </c>
    </row>
    <row r="206" spans="1:1" x14ac:dyDescent="0.3">
      <c r="A206" t="s">
        <v>395</v>
      </c>
    </row>
    <row r="207" spans="1:1" x14ac:dyDescent="0.3">
      <c r="A207" t="s">
        <v>396</v>
      </c>
    </row>
    <row r="208" spans="1:1" x14ac:dyDescent="0.3">
      <c r="A208" t="s">
        <v>397</v>
      </c>
    </row>
    <row r="209" spans="1:1" x14ac:dyDescent="0.3">
      <c r="A209" t="s">
        <v>398</v>
      </c>
    </row>
    <row r="210" spans="1:1" x14ac:dyDescent="0.3">
      <c r="A210" t="s">
        <v>399</v>
      </c>
    </row>
    <row r="211" spans="1:1" x14ac:dyDescent="0.3">
      <c r="A211" t="s">
        <v>400</v>
      </c>
    </row>
    <row r="212" spans="1:1" x14ac:dyDescent="0.3">
      <c r="A212" t="s">
        <v>401</v>
      </c>
    </row>
    <row r="213" spans="1:1" x14ac:dyDescent="0.3">
      <c r="A213" t="s">
        <v>402</v>
      </c>
    </row>
    <row r="214" spans="1:1" x14ac:dyDescent="0.3">
      <c r="A214" t="s">
        <v>403</v>
      </c>
    </row>
    <row r="215" spans="1:1" x14ac:dyDescent="0.3">
      <c r="A215" t="s">
        <v>404</v>
      </c>
    </row>
    <row r="216" spans="1:1" x14ac:dyDescent="0.3">
      <c r="A216" t="s">
        <v>405</v>
      </c>
    </row>
    <row r="217" spans="1:1" x14ac:dyDescent="0.3">
      <c r="A217" t="s">
        <v>406</v>
      </c>
    </row>
    <row r="218" spans="1:1" x14ac:dyDescent="0.3">
      <c r="A218" t="s">
        <v>407</v>
      </c>
    </row>
    <row r="219" spans="1:1" x14ac:dyDescent="0.3">
      <c r="A219" t="s">
        <v>408</v>
      </c>
    </row>
    <row r="220" spans="1:1" x14ac:dyDescent="0.3">
      <c r="A220" t="s">
        <v>409</v>
      </c>
    </row>
    <row r="221" spans="1:1" x14ac:dyDescent="0.3">
      <c r="A221" t="s">
        <v>410</v>
      </c>
    </row>
    <row r="222" spans="1:1" x14ac:dyDescent="0.3">
      <c r="A222" t="s">
        <v>411</v>
      </c>
    </row>
    <row r="223" spans="1:1" x14ac:dyDescent="0.3">
      <c r="A223" t="s">
        <v>412</v>
      </c>
    </row>
    <row r="224" spans="1:1" x14ac:dyDescent="0.3">
      <c r="A224" t="s">
        <v>413</v>
      </c>
    </row>
    <row r="225" spans="1:1" x14ac:dyDescent="0.3">
      <c r="A225" t="s">
        <v>414</v>
      </c>
    </row>
    <row r="226" spans="1:1" x14ac:dyDescent="0.3">
      <c r="A226" t="s">
        <v>415</v>
      </c>
    </row>
    <row r="227" spans="1:1" x14ac:dyDescent="0.3">
      <c r="A227" t="s">
        <v>416</v>
      </c>
    </row>
    <row r="228" spans="1:1" x14ac:dyDescent="0.3">
      <c r="A228" t="s">
        <v>417</v>
      </c>
    </row>
    <row r="229" spans="1:1" x14ac:dyDescent="0.3">
      <c r="A229" t="s">
        <v>418</v>
      </c>
    </row>
    <row r="230" spans="1:1" x14ac:dyDescent="0.3">
      <c r="A230" t="s">
        <v>419</v>
      </c>
    </row>
    <row r="231" spans="1:1" x14ac:dyDescent="0.3">
      <c r="A231" t="s">
        <v>420</v>
      </c>
    </row>
    <row r="232" spans="1:1" x14ac:dyDescent="0.3">
      <c r="A232" t="s">
        <v>421</v>
      </c>
    </row>
    <row r="233" spans="1:1" x14ac:dyDescent="0.3">
      <c r="A233" t="s">
        <v>422</v>
      </c>
    </row>
    <row r="234" spans="1:1" x14ac:dyDescent="0.3">
      <c r="A234" t="s">
        <v>423</v>
      </c>
    </row>
    <row r="235" spans="1:1" x14ac:dyDescent="0.3">
      <c r="A235" t="s">
        <v>424</v>
      </c>
    </row>
    <row r="236" spans="1:1" x14ac:dyDescent="0.3">
      <c r="A236" t="s">
        <v>425</v>
      </c>
    </row>
    <row r="237" spans="1:1" x14ac:dyDescent="0.3">
      <c r="A237" t="s">
        <v>426</v>
      </c>
    </row>
    <row r="238" spans="1:1" x14ac:dyDescent="0.3">
      <c r="A238" t="s">
        <v>427</v>
      </c>
    </row>
    <row r="239" spans="1:1" x14ac:dyDescent="0.3">
      <c r="A239" t="s">
        <v>428</v>
      </c>
    </row>
    <row r="240" spans="1:1" x14ac:dyDescent="0.3">
      <c r="A240" t="s">
        <v>429</v>
      </c>
    </row>
    <row r="241" spans="1:1" x14ac:dyDescent="0.3">
      <c r="A241" t="s">
        <v>430</v>
      </c>
    </row>
    <row r="242" spans="1:1" x14ac:dyDescent="0.3">
      <c r="A242" t="s">
        <v>431</v>
      </c>
    </row>
    <row r="243" spans="1:1" x14ac:dyDescent="0.3">
      <c r="A243" t="s">
        <v>432</v>
      </c>
    </row>
    <row r="244" spans="1:1" x14ac:dyDescent="0.3">
      <c r="A244" t="s">
        <v>433</v>
      </c>
    </row>
    <row r="245" spans="1:1" x14ac:dyDescent="0.3">
      <c r="A245" t="s">
        <v>434</v>
      </c>
    </row>
    <row r="246" spans="1:1" x14ac:dyDescent="0.3">
      <c r="A246" t="s">
        <v>435</v>
      </c>
    </row>
    <row r="247" spans="1:1" x14ac:dyDescent="0.3">
      <c r="A247" t="s">
        <v>436</v>
      </c>
    </row>
    <row r="248" spans="1:1" x14ac:dyDescent="0.3">
      <c r="A248" t="s">
        <v>437</v>
      </c>
    </row>
    <row r="249" spans="1:1" x14ac:dyDescent="0.3">
      <c r="A249" t="s">
        <v>438</v>
      </c>
    </row>
    <row r="250" spans="1:1" x14ac:dyDescent="0.3">
      <c r="A250" t="s">
        <v>439</v>
      </c>
    </row>
    <row r="251" spans="1:1" x14ac:dyDescent="0.3">
      <c r="A251" t="s">
        <v>440</v>
      </c>
    </row>
    <row r="252" spans="1:1" x14ac:dyDescent="0.3">
      <c r="A252" t="s">
        <v>441</v>
      </c>
    </row>
    <row r="253" spans="1:1" x14ac:dyDescent="0.3">
      <c r="A253" t="s">
        <v>442</v>
      </c>
    </row>
    <row r="254" spans="1:1" x14ac:dyDescent="0.3">
      <c r="A254" t="s">
        <v>443</v>
      </c>
    </row>
    <row r="255" spans="1:1" x14ac:dyDescent="0.3">
      <c r="A255" t="s">
        <v>444</v>
      </c>
    </row>
    <row r="256" spans="1:1" x14ac:dyDescent="0.3">
      <c r="A256" t="s">
        <v>445</v>
      </c>
    </row>
    <row r="257" spans="1:1" x14ac:dyDescent="0.3">
      <c r="A257" t="s">
        <v>446</v>
      </c>
    </row>
    <row r="258" spans="1:1" x14ac:dyDescent="0.3">
      <c r="A258" t="s">
        <v>447</v>
      </c>
    </row>
    <row r="259" spans="1:1" x14ac:dyDescent="0.3">
      <c r="A259" t="s">
        <v>448</v>
      </c>
    </row>
    <row r="260" spans="1:1" x14ac:dyDescent="0.3">
      <c r="A260" t="s">
        <v>449</v>
      </c>
    </row>
    <row r="261" spans="1:1" x14ac:dyDescent="0.3">
      <c r="A261" t="s">
        <v>450</v>
      </c>
    </row>
    <row r="262" spans="1:1" x14ac:dyDescent="0.3">
      <c r="A262" t="s">
        <v>451</v>
      </c>
    </row>
    <row r="263" spans="1:1" x14ac:dyDescent="0.3">
      <c r="A263" t="s">
        <v>452</v>
      </c>
    </row>
    <row r="264" spans="1:1" x14ac:dyDescent="0.3">
      <c r="A264" t="s">
        <v>453</v>
      </c>
    </row>
    <row r="265" spans="1:1" x14ac:dyDescent="0.3">
      <c r="A265" t="s">
        <v>454</v>
      </c>
    </row>
    <row r="266" spans="1:1" x14ac:dyDescent="0.3">
      <c r="A266" t="s">
        <v>455</v>
      </c>
    </row>
    <row r="267" spans="1:1" x14ac:dyDescent="0.3">
      <c r="A267" t="s">
        <v>456</v>
      </c>
    </row>
    <row r="268" spans="1:1" x14ac:dyDescent="0.3">
      <c r="A268" t="s">
        <v>457</v>
      </c>
    </row>
    <row r="269" spans="1:1" x14ac:dyDescent="0.3">
      <c r="A269" t="s">
        <v>458</v>
      </c>
    </row>
    <row r="270" spans="1:1" x14ac:dyDescent="0.3">
      <c r="A270" t="s">
        <v>459</v>
      </c>
    </row>
    <row r="271" spans="1:1" x14ac:dyDescent="0.3">
      <c r="A271" t="s">
        <v>460</v>
      </c>
    </row>
    <row r="272" spans="1:1" x14ac:dyDescent="0.3">
      <c r="A272" t="s">
        <v>461</v>
      </c>
    </row>
    <row r="273" spans="1:1" x14ac:dyDescent="0.3">
      <c r="A273" t="s">
        <v>462</v>
      </c>
    </row>
    <row r="274" spans="1:1" x14ac:dyDescent="0.3">
      <c r="A274" t="s">
        <v>463</v>
      </c>
    </row>
    <row r="275" spans="1:1" x14ac:dyDescent="0.3">
      <c r="A275" t="s">
        <v>464</v>
      </c>
    </row>
    <row r="276" spans="1:1" x14ac:dyDescent="0.3">
      <c r="A276" t="s">
        <v>531</v>
      </c>
    </row>
    <row r="277" spans="1:1" x14ac:dyDescent="0.3">
      <c r="A277" t="s">
        <v>465</v>
      </c>
    </row>
    <row r="278" spans="1:1" x14ac:dyDescent="0.3">
      <c r="A278" t="s">
        <v>466</v>
      </c>
    </row>
    <row r="279" spans="1:1" x14ac:dyDescent="0.3">
      <c r="A279" t="s">
        <v>467</v>
      </c>
    </row>
    <row r="280" spans="1:1" x14ac:dyDescent="0.3">
      <c r="A280" t="s">
        <v>468</v>
      </c>
    </row>
    <row r="281" spans="1:1" x14ac:dyDescent="0.3">
      <c r="A281" t="s">
        <v>469</v>
      </c>
    </row>
    <row r="282" spans="1:1" x14ac:dyDescent="0.3">
      <c r="A282" t="s">
        <v>470</v>
      </c>
    </row>
    <row r="283" spans="1:1" x14ac:dyDescent="0.3">
      <c r="A283" t="s">
        <v>471</v>
      </c>
    </row>
    <row r="284" spans="1:1" x14ac:dyDescent="0.3">
      <c r="A284" t="s">
        <v>472</v>
      </c>
    </row>
    <row r="285" spans="1:1" x14ac:dyDescent="0.3">
      <c r="A285" t="s">
        <v>473</v>
      </c>
    </row>
    <row r="286" spans="1:1" x14ac:dyDescent="0.3">
      <c r="A286" t="s">
        <v>474</v>
      </c>
    </row>
    <row r="287" spans="1:1" x14ac:dyDescent="0.3">
      <c r="A287" t="s">
        <v>475</v>
      </c>
    </row>
    <row r="288" spans="1:1" x14ac:dyDescent="0.3">
      <c r="A288" t="s">
        <v>476</v>
      </c>
    </row>
    <row r="289" spans="1:1" x14ac:dyDescent="0.3">
      <c r="A289" t="s">
        <v>477</v>
      </c>
    </row>
    <row r="290" spans="1:1" x14ac:dyDescent="0.3">
      <c r="A290" t="s">
        <v>478</v>
      </c>
    </row>
    <row r="291" spans="1:1" x14ac:dyDescent="0.3">
      <c r="A291" t="s">
        <v>479</v>
      </c>
    </row>
    <row r="292" spans="1:1" x14ac:dyDescent="0.3">
      <c r="A292" t="s">
        <v>480</v>
      </c>
    </row>
    <row r="293" spans="1:1" x14ac:dyDescent="0.3">
      <c r="A293" t="s">
        <v>481</v>
      </c>
    </row>
    <row r="294" spans="1:1" x14ac:dyDescent="0.3">
      <c r="A294" t="s">
        <v>482</v>
      </c>
    </row>
    <row r="295" spans="1:1" x14ac:dyDescent="0.3">
      <c r="A295" t="s">
        <v>483</v>
      </c>
    </row>
    <row r="296" spans="1:1" x14ac:dyDescent="0.3">
      <c r="A296" t="s">
        <v>484</v>
      </c>
    </row>
    <row r="297" spans="1:1" x14ac:dyDescent="0.3">
      <c r="A297" t="s">
        <v>485</v>
      </c>
    </row>
    <row r="298" spans="1:1" x14ac:dyDescent="0.3">
      <c r="A298" t="s">
        <v>486</v>
      </c>
    </row>
    <row r="299" spans="1:1" x14ac:dyDescent="0.3">
      <c r="A299" t="s">
        <v>532</v>
      </c>
    </row>
    <row r="300" spans="1:1" x14ac:dyDescent="0.3">
      <c r="A300" t="s">
        <v>487</v>
      </c>
    </row>
    <row r="301" spans="1:1" x14ac:dyDescent="0.3">
      <c r="A301" t="s">
        <v>488</v>
      </c>
    </row>
    <row r="302" spans="1:1" x14ac:dyDescent="0.3">
      <c r="A302" t="s">
        <v>489</v>
      </c>
    </row>
    <row r="303" spans="1:1" x14ac:dyDescent="0.3">
      <c r="A303" t="s">
        <v>490</v>
      </c>
    </row>
    <row r="304" spans="1:1" x14ac:dyDescent="0.3">
      <c r="A304" t="s">
        <v>491</v>
      </c>
    </row>
    <row r="305" spans="1:1" x14ac:dyDescent="0.3">
      <c r="A305" t="s">
        <v>492</v>
      </c>
    </row>
    <row r="306" spans="1:1" x14ac:dyDescent="0.3">
      <c r="A306" t="s">
        <v>493</v>
      </c>
    </row>
    <row r="307" spans="1:1" x14ac:dyDescent="0.3">
      <c r="A307" t="s">
        <v>494</v>
      </c>
    </row>
    <row r="308" spans="1:1" x14ac:dyDescent="0.3">
      <c r="A308" t="s">
        <v>495</v>
      </c>
    </row>
    <row r="309" spans="1:1" x14ac:dyDescent="0.3">
      <c r="A309" t="s">
        <v>496</v>
      </c>
    </row>
    <row r="310" spans="1:1" x14ac:dyDescent="0.3">
      <c r="A310" t="s">
        <v>497</v>
      </c>
    </row>
    <row r="311" spans="1:1" x14ac:dyDescent="0.3">
      <c r="A311" t="s">
        <v>498</v>
      </c>
    </row>
    <row r="312" spans="1:1" x14ac:dyDescent="0.3">
      <c r="A312" t="s">
        <v>499</v>
      </c>
    </row>
    <row r="313" spans="1:1" x14ac:dyDescent="0.3">
      <c r="A313" t="s">
        <v>500</v>
      </c>
    </row>
    <row r="314" spans="1:1" x14ac:dyDescent="0.3">
      <c r="A314" t="s">
        <v>501</v>
      </c>
    </row>
    <row r="315" spans="1:1" x14ac:dyDescent="0.3">
      <c r="A315" t="s">
        <v>502</v>
      </c>
    </row>
    <row r="316" spans="1:1" x14ac:dyDescent="0.3">
      <c r="A316" t="s">
        <v>503</v>
      </c>
    </row>
    <row r="317" spans="1:1" x14ac:dyDescent="0.3">
      <c r="A317" t="s">
        <v>504</v>
      </c>
    </row>
    <row r="318" spans="1:1" x14ac:dyDescent="0.3">
      <c r="A318" t="s">
        <v>505</v>
      </c>
    </row>
    <row r="319" spans="1:1" x14ac:dyDescent="0.3">
      <c r="A319" t="s">
        <v>506</v>
      </c>
    </row>
    <row r="320" spans="1:1" x14ac:dyDescent="0.3">
      <c r="A320" t="s">
        <v>507</v>
      </c>
    </row>
    <row r="321" spans="1:1" x14ac:dyDescent="0.3">
      <c r="A321" t="s">
        <v>508</v>
      </c>
    </row>
    <row r="322" spans="1:1" x14ac:dyDescent="0.3">
      <c r="A322" t="s">
        <v>509</v>
      </c>
    </row>
    <row r="323" spans="1:1" x14ac:dyDescent="0.3">
      <c r="A323" t="s">
        <v>510</v>
      </c>
    </row>
    <row r="324" spans="1:1" x14ac:dyDescent="0.3">
      <c r="A324" t="s">
        <v>511</v>
      </c>
    </row>
    <row r="325" spans="1:1" x14ac:dyDescent="0.3">
      <c r="A325" t="s">
        <v>512</v>
      </c>
    </row>
    <row r="326" spans="1:1" x14ac:dyDescent="0.3">
      <c r="A326" t="s">
        <v>513</v>
      </c>
    </row>
    <row r="327" spans="1:1" x14ac:dyDescent="0.3">
      <c r="A327" t="s">
        <v>514</v>
      </c>
    </row>
    <row r="328" spans="1:1" x14ac:dyDescent="0.3">
      <c r="A328" t="s">
        <v>515</v>
      </c>
    </row>
    <row r="329" spans="1:1" x14ac:dyDescent="0.3">
      <c r="A329" t="s">
        <v>516</v>
      </c>
    </row>
    <row r="330" spans="1:1" x14ac:dyDescent="0.3">
      <c r="A330" t="s">
        <v>517</v>
      </c>
    </row>
    <row r="331" spans="1:1" x14ac:dyDescent="0.3">
      <c r="A331" t="s">
        <v>518</v>
      </c>
    </row>
    <row r="332" spans="1:1" x14ac:dyDescent="0.3">
      <c r="A332" t="s">
        <v>519</v>
      </c>
    </row>
    <row r="333" spans="1:1" x14ac:dyDescent="0.3">
      <c r="A333" t="s">
        <v>520</v>
      </c>
    </row>
    <row r="334" spans="1:1" x14ac:dyDescent="0.3">
      <c r="A334" t="s">
        <v>521</v>
      </c>
    </row>
    <row r="335" spans="1:1" x14ac:dyDescent="0.3">
      <c r="A335" t="s">
        <v>522</v>
      </c>
    </row>
    <row r="336" spans="1:1" x14ac:dyDescent="0.3">
      <c r="A336" t="s">
        <v>523</v>
      </c>
    </row>
    <row r="337" spans="1:1" x14ac:dyDescent="0.3">
      <c r="A337" t="s">
        <v>524</v>
      </c>
    </row>
    <row r="338" spans="1:1" x14ac:dyDescent="0.3">
      <c r="A338" t="s">
        <v>525</v>
      </c>
    </row>
    <row r="339" spans="1:1" x14ac:dyDescent="0.3">
      <c r="A339" t="s">
        <v>526</v>
      </c>
    </row>
    <row r="340" spans="1:1" x14ac:dyDescent="0.3">
      <c r="A340" t="s">
        <v>527</v>
      </c>
    </row>
    <row r="341" spans="1:1" x14ac:dyDescent="0.3">
      <c r="A341" t="s">
        <v>528</v>
      </c>
    </row>
    <row r="342" spans="1:1" x14ac:dyDescent="0.3">
      <c r="A342" t="s">
        <v>529</v>
      </c>
    </row>
    <row r="343" spans="1:1" x14ac:dyDescent="0.3">
      <c r="A343" t="s">
        <v>530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4.4" x14ac:dyDescent="0.3"/>
  <cols>
    <col min="1" max="2" width="17" customWidth="1"/>
    <col min="3" max="3" width="16.5546875" bestFit="1" customWidth="1"/>
    <col min="4" max="4" width="17.109375" bestFit="1" customWidth="1"/>
    <col min="5" max="5" width="14.109375" customWidth="1"/>
    <col min="6" max="6" width="18.88671875" bestFit="1" customWidth="1"/>
    <col min="7" max="7" width="20.6640625" customWidth="1"/>
    <col min="8" max="8" width="19.44140625" bestFit="1" customWidth="1"/>
    <col min="9" max="9" width="17" customWidth="1"/>
    <col min="10" max="10" width="19.109375" customWidth="1"/>
    <col min="11" max="11" width="19.44140625" bestFit="1" customWidth="1"/>
    <col min="12" max="12" width="19.5546875" bestFit="1" customWidth="1"/>
  </cols>
  <sheetData>
    <row r="6" spans="1:12" s="6" customFormat="1" ht="213.6" x14ac:dyDescent="0.3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4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3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119  1 32.35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</v>
      </c>
    </row>
    <row r="12" spans="1:12" x14ac:dyDescent="0.3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opLeftCell="A4" zoomScale="90" zoomScaleNormal="90" workbookViewId="0">
      <selection activeCell="F8" sqref="F8"/>
    </sheetView>
  </sheetViews>
  <sheetFormatPr defaultRowHeight="14.4" x14ac:dyDescent="0.3"/>
  <cols>
    <col min="1" max="1" width="19.33203125" customWidth="1"/>
    <col min="2" max="2" width="19.88671875" bestFit="1" customWidth="1"/>
    <col min="3" max="3" width="18.88671875" bestFit="1" customWidth="1"/>
    <col min="4" max="4" width="24.5546875" bestFit="1" customWidth="1"/>
    <col min="5" max="5" width="18.6640625" bestFit="1" customWidth="1"/>
    <col min="6" max="8" width="18.5546875" customWidth="1"/>
  </cols>
  <sheetData>
    <row r="2" spans="1:8" x14ac:dyDescent="0.3">
      <c r="A2" s="46" t="s">
        <v>193</v>
      </c>
    </row>
    <row r="4" spans="1:8" ht="317.39999999999998" x14ac:dyDescent="0.3">
      <c r="A4" s="44" t="s">
        <v>184</v>
      </c>
      <c r="E4" t="s">
        <v>114</v>
      </c>
      <c r="F4" s="47" t="s">
        <v>191</v>
      </c>
      <c r="G4" s="47" t="s">
        <v>192</v>
      </c>
      <c r="H4" s="47" t="s">
        <v>190</v>
      </c>
    </row>
    <row r="5" spans="1:8" ht="18" thickBot="1" x14ac:dyDescent="0.4">
      <c r="A5" s="1" t="s">
        <v>187</v>
      </c>
      <c r="B5" s="1" t="s">
        <v>103</v>
      </c>
      <c r="C5" s="1" t="s">
        <v>104</v>
      </c>
      <c r="D5" s="1" t="s">
        <v>185</v>
      </c>
      <c r="E5" s="1" t="s">
        <v>187</v>
      </c>
      <c r="F5" s="1" t="s">
        <v>103</v>
      </c>
      <c r="G5" s="1" t="s">
        <v>104</v>
      </c>
      <c r="H5" s="1" t="s">
        <v>185</v>
      </c>
    </row>
    <row r="6" spans="1:8" x14ac:dyDescent="0.3">
      <c r="A6" s="3" t="s">
        <v>188</v>
      </c>
      <c r="B6" s="3" t="s">
        <v>183</v>
      </c>
      <c r="C6" s="3" t="s">
        <v>194</v>
      </c>
      <c r="D6" s="3">
        <v>603.34659999999997</v>
      </c>
      <c r="E6" s="3" t="s">
        <v>189</v>
      </c>
      <c r="F6" s="3" t="str">
        <f>latsevenpara(A6,E6,B6,C6,D6)</f>
        <v>-24 40 12.39650</v>
      </c>
      <c r="G6" s="3" t="str">
        <f>lngsevenpara(A6,E6,B6,C6,D6)</f>
        <v>133 53 07.87779</v>
      </c>
      <c r="H6" s="45">
        <f>htsevenpara(A6,E6,B6,C6,D6)</f>
        <v>603.24887225870043</v>
      </c>
    </row>
    <row r="7" spans="1:8" x14ac:dyDescent="0.3">
      <c r="E7" s="44" t="s">
        <v>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2019-03-22T02:52:45Z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