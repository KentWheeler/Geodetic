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Geodetic-master (1)\Geodetic-master\"/>
    </mc:Choice>
  </mc:AlternateContent>
  <xr:revisionPtr revIDLastSave="0" documentId="13_ncr:1_{DB771885-E89D-42DD-83EE-E9D60390B620}" xr6:coauthVersionLast="41" xr6:coauthVersionMax="41" xr10:uidLastSave="{00000000-0000-0000-0000-000000000000}"/>
  <bookViews>
    <workbookView xWindow="-120" yWindow="-120" windowWidth="25440" windowHeight="15390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3" i="5" l="1"/>
  <c r="H157" i="5"/>
  <c r="G173" i="5"/>
  <c r="G157" i="5"/>
  <c r="G141" i="5"/>
  <c r="G125" i="5"/>
  <c r="G109" i="5"/>
  <c r="G93" i="5"/>
  <c r="H156" i="5"/>
  <c r="G138" i="5"/>
  <c r="G290" i="5"/>
  <c r="H267" i="5"/>
  <c r="H254" i="5"/>
  <c r="G335" i="5"/>
  <c r="G312" i="5"/>
  <c r="G295" i="5"/>
  <c r="G108" i="5"/>
  <c r="G260" i="5"/>
  <c r="G75" i="5"/>
  <c r="G59" i="5"/>
  <c r="G43" i="5"/>
  <c r="G27" i="5"/>
  <c r="G11" i="5"/>
  <c r="H333" i="5"/>
  <c r="H154" i="5"/>
  <c r="H288" i="5"/>
  <c r="G280" i="5"/>
  <c r="H68" i="5"/>
  <c r="H220" i="5"/>
  <c r="H146" i="5"/>
  <c r="G294" i="5"/>
  <c r="G265" i="5"/>
  <c r="G250" i="5"/>
  <c r="H229" i="5"/>
  <c r="H207" i="5"/>
  <c r="H20" i="5"/>
  <c r="G172" i="5"/>
  <c r="G302" i="5"/>
  <c r="H101" i="5"/>
  <c r="H242" i="5"/>
  <c r="G310" i="5"/>
  <c r="G301" i="5"/>
  <c r="H293" i="5"/>
  <c r="H89" i="5"/>
  <c r="G34" i="5"/>
  <c r="H305" i="5"/>
  <c r="G104" i="5"/>
  <c r="G241" i="5"/>
  <c r="G226" i="5"/>
  <c r="H217" i="5"/>
  <c r="G197" i="5"/>
  <c r="G177" i="5"/>
  <c r="G132" i="5"/>
  <c r="H87" i="5"/>
  <c r="H37" i="5"/>
  <c r="H16" i="5"/>
  <c r="H279" i="5"/>
  <c r="G66" i="5"/>
  <c r="H208" i="5"/>
  <c r="H331" i="5"/>
  <c r="G94" i="5"/>
  <c r="H53" i="5"/>
  <c r="H106" i="5"/>
  <c r="H238" i="5"/>
  <c r="H42" i="5"/>
  <c r="H184" i="5"/>
  <c r="H123" i="5"/>
  <c r="G245" i="5"/>
  <c r="G199" i="5"/>
  <c r="H304" i="5"/>
  <c r="H251" i="5"/>
  <c r="H32" i="5"/>
  <c r="H186" i="5"/>
  <c r="G323" i="5"/>
  <c r="H253" i="5"/>
  <c r="G52" i="5"/>
  <c r="G28" i="5"/>
  <c r="H181" i="5"/>
  <c r="H133" i="5"/>
  <c r="H227" i="5"/>
  <c r="G205" i="5"/>
  <c r="H131" i="5"/>
  <c r="H71" i="5"/>
  <c r="G22" i="5"/>
  <c r="H119" i="5"/>
  <c r="F7" i="5"/>
  <c r="F163" i="5"/>
  <c r="E322" i="5"/>
  <c r="D142" i="5"/>
  <c r="F131" i="5"/>
  <c r="E290" i="5"/>
  <c r="D110" i="5"/>
  <c r="F99" i="5"/>
  <c r="E258" i="5"/>
  <c r="D78" i="5"/>
  <c r="E167" i="5"/>
  <c r="D326" i="5"/>
  <c r="F315" i="5"/>
  <c r="E135" i="5"/>
  <c r="D294" i="5"/>
  <c r="F283" i="5"/>
  <c r="E103" i="5"/>
  <c r="D262" i="5"/>
  <c r="F251" i="5"/>
  <c r="E71" i="5"/>
  <c r="D230" i="5"/>
  <c r="F219" i="5"/>
  <c r="E39" i="5"/>
  <c r="D198" i="5"/>
  <c r="F187" i="5"/>
  <c r="F175" i="5"/>
  <c r="F329" i="5"/>
  <c r="D315" i="5"/>
  <c r="D301" i="5"/>
  <c r="E117" i="5"/>
  <c r="F272" i="5"/>
  <c r="F258" i="5"/>
  <c r="D244" i="5"/>
  <c r="F62" i="5"/>
  <c r="E50" i="5"/>
  <c r="D38" i="5"/>
  <c r="E195" i="5"/>
  <c r="D183" i="5"/>
  <c r="D172" i="5"/>
  <c r="E327" i="5"/>
  <c r="E313" i="5"/>
  <c r="F341" i="5"/>
  <c r="H171" i="5"/>
  <c r="H155" i="5"/>
  <c r="G171" i="5"/>
  <c r="G155" i="5"/>
  <c r="G139" i="5"/>
  <c r="G123" i="5"/>
  <c r="G107" i="5"/>
  <c r="G91" i="5"/>
  <c r="H322" i="5"/>
  <c r="G306" i="5"/>
  <c r="H283" i="5"/>
  <c r="H96" i="5"/>
  <c r="H252" i="5"/>
  <c r="G162" i="5"/>
  <c r="G311" i="5"/>
  <c r="G124" i="5"/>
  <c r="G276" i="5"/>
  <c r="G89" i="5"/>
  <c r="G73" i="5"/>
  <c r="G57" i="5"/>
  <c r="G41" i="5"/>
  <c r="G25" i="5"/>
  <c r="G9" i="5"/>
  <c r="H160" i="5"/>
  <c r="G321" i="5"/>
  <c r="H287" i="5"/>
  <c r="G278" i="5"/>
  <c r="H236" i="5"/>
  <c r="H49" i="5"/>
  <c r="G142" i="5"/>
  <c r="H121" i="5"/>
  <c r="H259" i="5"/>
  <c r="G249" i="5"/>
  <c r="H57" i="5"/>
  <c r="H36" i="5"/>
  <c r="H188" i="5"/>
  <c r="G340" i="5"/>
  <c r="H129" i="5"/>
  <c r="G100" i="5"/>
  <c r="G333" i="5"/>
  <c r="G337" i="5"/>
  <c r="G300" i="5"/>
  <c r="G291" i="5"/>
  <c r="H85" i="5"/>
  <c r="G200" i="5"/>
  <c r="H134" i="5"/>
  <c r="H272" i="5"/>
  <c r="G240" i="5"/>
  <c r="G225" i="5"/>
  <c r="H44" i="5"/>
  <c r="H24" i="5"/>
  <c r="G341" i="5"/>
  <c r="H292" i="5"/>
  <c r="H83" i="5"/>
  <c r="G203" i="5"/>
  <c r="G183" i="5"/>
  <c r="G269" i="5"/>
  <c r="H61" i="5"/>
  <c r="H201" i="5"/>
  <c r="G152" i="5"/>
  <c r="H76" i="5"/>
  <c r="H212" i="5"/>
  <c r="H268" i="5"/>
  <c r="H62" i="5"/>
  <c r="H38" i="5"/>
  <c r="H177" i="5"/>
  <c r="H118" i="5"/>
  <c r="H241" i="5"/>
  <c r="G26" i="5"/>
  <c r="G126" i="5"/>
  <c r="H249" i="5"/>
  <c r="H28" i="5"/>
  <c r="H13" i="5"/>
  <c r="H137" i="5"/>
  <c r="H77" i="5"/>
  <c r="H214" i="5"/>
  <c r="H195" i="5"/>
  <c r="H180" i="5"/>
  <c r="G116" i="5"/>
  <c r="G56" i="5"/>
  <c r="H34" i="5"/>
  <c r="H297" i="5"/>
  <c r="H66" i="5"/>
  <c r="G188" i="5"/>
  <c r="H48" i="5"/>
  <c r="E342" i="5"/>
  <c r="D162" i="5"/>
  <c r="F151" i="5"/>
  <c r="E310" i="5"/>
  <c r="D130" i="5"/>
  <c r="F119" i="5"/>
  <c r="E278" i="5"/>
  <c r="D98" i="5"/>
  <c r="F87" i="5"/>
  <c r="E246" i="5"/>
  <c r="F335" i="5"/>
  <c r="E155" i="5"/>
  <c r="D314" i="5"/>
  <c r="F303" i="5"/>
  <c r="E123" i="5"/>
  <c r="D282" i="5"/>
  <c r="F271" i="5"/>
  <c r="E91" i="5"/>
  <c r="D250" i="5"/>
  <c r="H165" i="5"/>
  <c r="H149" i="5"/>
  <c r="G165" i="5"/>
  <c r="G149" i="5"/>
  <c r="G133" i="5"/>
  <c r="G117" i="5"/>
  <c r="G101" i="5"/>
  <c r="H337" i="5"/>
  <c r="H314" i="5"/>
  <c r="H296" i="5"/>
  <c r="H109" i="5"/>
  <c r="G261" i="5"/>
  <c r="H246" i="5"/>
  <c r="G154" i="5"/>
  <c r="H301" i="5"/>
  <c r="H114" i="5"/>
  <c r="H266" i="5"/>
  <c r="G83" i="5"/>
  <c r="G67" i="5"/>
  <c r="G51" i="5"/>
  <c r="G35" i="5"/>
  <c r="G19" i="5"/>
  <c r="H342" i="5"/>
  <c r="G342" i="5"/>
  <c r="G314" i="5"/>
  <c r="H284" i="5"/>
  <c r="H82" i="5"/>
  <c r="G62" i="5"/>
  <c r="H327" i="5"/>
  <c r="H135" i="5"/>
  <c r="H107" i="5"/>
  <c r="G254" i="5"/>
  <c r="H70" i="5"/>
  <c r="H50" i="5"/>
  <c r="G201" i="5"/>
  <c r="G14" i="5"/>
  <c r="H318" i="5"/>
  <c r="H115" i="5"/>
  <c r="G259" i="5"/>
  <c r="G325" i="5"/>
  <c r="G317" i="5"/>
  <c r="H323" i="5"/>
  <c r="H103" i="5"/>
  <c r="H47" i="5"/>
  <c r="G329" i="5"/>
  <c r="G118" i="5"/>
  <c r="G86" i="5"/>
  <c r="G232" i="5"/>
  <c r="G221" i="5"/>
  <c r="G38" i="5"/>
  <c r="G184" i="5"/>
  <c r="H144" i="5"/>
  <c r="H278" i="5"/>
  <c r="H216" i="5"/>
  <c r="G24" i="5"/>
  <c r="H152" i="5"/>
  <c r="H92" i="5"/>
  <c r="H221" i="5"/>
  <c r="G16" i="5"/>
  <c r="H124" i="5"/>
  <c r="H235" i="5"/>
  <c r="H312" i="5"/>
  <c r="G80" i="5"/>
  <c r="H222" i="5"/>
  <c r="H26" i="5"/>
  <c r="G160" i="5"/>
  <c r="H270" i="5"/>
  <c r="G54" i="5"/>
  <c r="H19" i="5"/>
  <c r="H265" i="5"/>
  <c r="H60" i="5"/>
  <c r="G193" i="5"/>
  <c r="G178" i="5"/>
  <c r="H277" i="5"/>
  <c r="H63" i="5"/>
  <c r="G36" i="5"/>
  <c r="H21" i="5"/>
  <c r="H6" i="5"/>
  <c r="H78" i="5"/>
  <c r="G216" i="5"/>
  <c r="H174" i="5"/>
  <c r="G284" i="5"/>
  <c r="H226" i="5"/>
  <c r="G180" i="5"/>
  <c r="H67" i="5"/>
  <c r="E338" i="5"/>
  <c r="D158" i="5"/>
  <c r="H169" i="5"/>
  <c r="H145" i="5"/>
  <c r="G151" i="5"/>
  <c r="G127" i="5"/>
  <c r="G99" i="5"/>
  <c r="H321" i="5"/>
  <c r="G293" i="5"/>
  <c r="H93" i="5"/>
  <c r="G336" i="5"/>
  <c r="H130" i="5"/>
  <c r="H269" i="5"/>
  <c r="G79" i="5"/>
  <c r="G53" i="5"/>
  <c r="G29" i="5"/>
  <c r="H341" i="5"/>
  <c r="G148" i="5"/>
  <c r="G282" i="5"/>
  <c r="G233" i="5"/>
  <c r="H150" i="5"/>
  <c r="H273" i="5"/>
  <c r="G244" i="5"/>
  <c r="G46" i="5"/>
  <c r="G185" i="5"/>
  <c r="H303" i="5"/>
  <c r="G258" i="5"/>
  <c r="G166" i="5"/>
  <c r="H306" i="5"/>
  <c r="H72" i="5"/>
  <c r="H307" i="5"/>
  <c r="H79" i="5"/>
  <c r="H224" i="5"/>
  <c r="H203" i="5"/>
  <c r="H319" i="5"/>
  <c r="G96" i="5"/>
  <c r="H23" i="5"/>
  <c r="H97" i="5"/>
  <c r="G215" i="5"/>
  <c r="H300" i="5"/>
  <c r="H56" i="5"/>
  <c r="G78" i="5"/>
  <c r="G202" i="5"/>
  <c r="H138" i="5"/>
  <c r="H225" i="5"/>
  <c r="H178" i="5"/>
  <c r="H228" i="5"/>
  <c r="G12" i="5"/>
  <c r="H262" i="5"/>
  <c r="G207" i="5"/>
  <c r="H14" i="5"/>
  <c r="G76" i="5"/>
  <c r="H202" i="5"/>
  <c r="G262" i="5"/>
  <c r="G181" i="5"/>
  <c r="E7" i="5"/>
  <c r="E326" i="5"/>
  <c r="F143" i="5"/>
  <c r="F127" i="5"/>
  <c r="D114" i="5"/>
  <c r="E270" i="5"/>
  <c r="E254" i="5"/>
  <c r="E171" i="5"/>
  <c r="F327" i="5"/>
  <c r="F311" i="5"/>
  <c r="D298" i="5"/>
  <c r="E115" i="5"/>
  <c r="E99" i="5"/>
  <c r="F255" i="5"/>
  <c r="D242" i="5"/>
  <c r="E59" i="5"/>
  <c r="E47" i="5"/>
  <c r="E35" i="5"/>
  <c r="E23" i="5"/>
  <c r="E11" i="5"/>
  <c r="D333" i="5"/>
  <c r="D317" i="5"/>
  <c r="D299" i="5"/>
  <c r="D283" i="5"/>
  <c r="D267" i="5"/>
  <c r="D251" i="5"/>
  <c r="F236" i="5"/>
  <c r="E53" i="5"/>
  <c r="H167" i="5"/>
  <c r="H143" i="5"/>
  <c r="G147" i="5"/>
  <c r="G121" i="5"/>
  <c r="G97" i="5"/>
  <c r="H148" i="5"/>
  <c r="G122" i="5"/>
  <c r="G90" i="5"/>
  <c r="G328" i="5"/>
  <c r="H298" i="5"/>
  <c r="H98" i="5"/>
  <c r="G77" i="5"/>
  <c r="G49" i="5"/>
  <c r="G23" i="5"/>
  <c r="H168" i="5"/>
  <c r="H315" i="5"/>
  <c r="G281" i="5"/>
  <c r="G230" i="5"/>
  <c r="H309" i="5"/>
  <c r="G272" i="5"/>
  <c r="H243" i="5"/>
  <c r="G214" i="5"/>
  <c r="G182" i="5"/>
  <c r="H122" i="5"/>
  <c r="G257" i="5"/>
  <c r="H324" i="5"/>
  <c r="G304" i="5"/>
  <c r="G213" i="5"/>
  <c r="H132" i="5"/>
  <c r="G246" i="5"/>
  <c r="G222" i="5"/>
  <c r="H31" i="5"/>
  <c r="G307" i="5"/>
  <c r="G242" i="5"/>
  <c r="G190" i="5"/>
  <c r="G264" i="5"/>
  <c r="G40" i="5"/>
  <c r="H276" i="5"/>
  <c r="H197" i="5"/>
  <c r="G72" i="5"/>
  <c r="H198" i="5"/>
  <c r="H126" i="5"/>
  <c r="G42" i="5"/>
  <c r="G270" i="5"/>
  <c r="H46" i="5"/>
  <c r="H179" i="5"/>
  <c r="G88" i="5"/>
  <c r="G32" i="5"/>
  <c r="G179" i="5"/>
  <c r="G74" i="5"/>
  <c r="G175" i="5"/>
  <c r="H81" i="5"/>
  <c r="H8" i="5"/>
  <c r="F171" i="5"/>
  <c r="F155" i="5"/>
  <c r="F139" i="5"/>
  <c r="D126" i="5"/>
  <c r="E282" i="5"/>
  <c r="E266" i="5"/>
  <c r="F83" i="5"/>
  <c r="F339" i="5"/>
  <c r="F323" i="5"/>
  <c r="D310" i="5"/>
  <c r="E127" i="5"/>
  <c r="E111" i="5"/>
  <c r="F267" i="5"/>
  <c r="D254" i="5"/>
  <c r="F239" i="5"/>
  <c r="F227" i="5"/>
  <c r="F215" i="5"/>
  <c r="F203" i="5"/>
  <c r="F191" i="5"/>
  <c r="F179" i="5"/>
  <c r="D331" i="5"/>
  <c r="F313" i="5"/>
  <c r="F297" i="5"/>
  <c r="F281" i="5"/>
  <c r="F265" i="5"/>
  <c r="F249" i="5"/>
  <c r="F65" i="5"/>
  <c r="E221" i="5"/>
  <c r="F36" i="5"/>
  <c r="E192" i="5"/>
  <c r="D9" i="5"/>
  <c r="D165" i="5"/>
  <c r="D149" i="5"/>
  <c r="D133" i="5"/>
  <c r="D329" i="5"/>
  <c r="E145" i="5"/>
  <c r="F300" i="5"/>
  <c r="F286" i="5"/>
  <c r="D272" i="5"/>
  <c r="E88" i="5"/>
  <c r="E74" i="5"/>
  <c r="D62" i="5"/>
  <c r="E219" i="5"/>
  <c r="D207" i="5"/>
  <c r="F25" i="5"/>
  <c r="E13" i="5"/>
  <c r="H161" i="5"/>
  <c r="G167" i="5"/>
  <c r="G143" i="5"/>
  <c r="G115" i="5"/>
  <c r="H172" i="5"/>
  <c r="H141" i="5"/>
  <c r="H280" i="5"/>
  <c r="H256" i="5"/>
  <c r="G320" i="5"/>
  <c r="G292" i="5"/>
  <c r="G263" i="5"/>
  <c r="G69" i="5"/>
  <c r="G45" i="5"/>
  <c r="G17" i="5"/>
  <c r="H326" i="5"/>
  <c r="H291" i="5"/>
  <c r="H255" i="5"/>
  <c r="H52" i="5"/>
  <c r="H302" i="5"/>
  <c r="H257" i="5"/>
  <c r="G64" i="5"/>
  <c r="H33" i="5"/>
  <c r="H343" i="5"/>
  <c r="H281" i="5"/>
  <c r="H162" i="5"/>
  <c r="H308" i="5"/>
  <c r="H274" i="5"/>
  <c r="H206" i="5"/>
  <c r="G286" i="5"/>
  <c r="G238" i="5"/>
  <c r="G219" i="5"/>
  <c r="G18" i="5"/>
  <c r="G303" i="5"/>
  <c r="G44" i="5"/>
  <c r="G10" i="5"/>
  <c r="H69" i="5"/>
  <c r="G189" i="5"/>
  <c r="H99" i="5"/>
  <c r="G299" i="5"/>
  <c r="H59" i="5"/>
  <c r="G191" i="5"/>
  <c r="H275" i="5"/>
  <c r="H35" i="5"/>
  <c r="H88" i="5"/>
  <c r="H27" i="5"/>
  <c r="G334" i="5"/>
  <c r="G239" i="5"/>
  <c r="H29" i="5"/>
  <c r="H336" i="5"/>
  <c r="H219" i="5"/>
  <c r="H158" i="5"/>
  <c r="H58" i="5"/>
  <c r="H5" i="5"/>
  <c r="F167" i="5"/>
  <c r="D150" i="5"/>
  <c r="E306" i="5"/>
  <c r="F123" i="5"/>
  <c r="F107" i="5"/>
  <c r="D94" i="5"/>
  <c r="E250" i="5"/>
  <c r="D334" i="5"/>
  <c r="E151" i="5"/>
  <c r="F307" i="5"/>
  <c r="F291" i="5"/>
  <c r="D278" i="5"/>
  <c r="E95" i="5"/>
  <c r="E79" i="5"/>
  <c r="E67" i="5"/>
  <c r="E55" i="5"/>
  <c r="E43" i="5"/>
  <c r="E31" i="5"/>
  <c r="E19" i="5"/>
  <c r="E172" i="5"/>
  <c r="E156" i="5"/>
  <c r="E140" i="5"/>
  <c r="E124" i="5"/>
  <c r="E108" i="5"/>
  <c r="E92" i="5"/>
  <c r="E76" i="5"/>
  <c r="F230" i="5"/>
  <c r="D47" i="5"/>
  <c r="F33" i="5"/>
  <c r="E189" i="5"/>
  <c r="D6" i="5"/>
  <c r="F161" i="5"/>
  <c r="F145" i="5"/>
  <c r="E170" i="5"/>
  <c r="F325" i="5"/>
  <c r="D311" i="5"/>
  <c r="D297" i="5"/>
  <c r="E113" i="5"/>
  <c r="F268" i="5"/>
  <c r="F254" i="5"/>
  <c r="D71" i="5"/>
  <c r="F228" i="5"/>
  <c r="E216" i="5"/>
  <c r="D204" i="5"/>
  <c r="F22" i="5"/>
  <c r="E10" i="5"/>
  <c r="F164" i="5"/>
  <c r="F150" i="5"/>
  <c r="D136" i="5"/>
  <c r="E291" i="5"/>
  <c r="E277" i="5"/>
  <c r="F93" i="5"/>
  <c r="D79" i="5"/>
  <c r="F66" i="5"/>
  <c r="D164" i="5"/>
  <c r="E319" i="5"/>
  <c r="D169" i="5"/>
  <c r="E132" i="5"/>
  <c r="E279" i="5"/>
  <c r="D87" i="5"/>
  <c r="E235" i="5"/>
  <c r="D49" i="5"/>
  <c r="E202" i="5"/>
  <c r="F16" i="5"/>
  <c r="E333" i="5"/>
  <c r="F129" i="5"/>
  <c r="E276" i="5"/>
  <c r="F253" i="5"/>
  <c r="F232" i="5"/>
  <c r="D216" i="5"/>
  <c r="D200" i="5"/>
  <c r="E14" i="5"/>
  <c r="E207" i="5"/>
  <c r="E340" i="5"/>
  <c r="H163" i="5"/>
  <c r="G159" i="5"/>
  <c r="G113" i="5"/>
  <c r="H329" i="5"/>
  <c r="G106" i="5"/>
  <c r="G327" i="5"/>
  <c r="H111" i="5"/>
  <c r="G65" i="5"/>
  <c r="G31" i="5"/>
  <c r="H339" i="5"/>
  <c r="G256" i="5"/>
  <c r="G156" i="5"/>
  <c r="G255" i="5"/>
  <c r="G217" i="5"/>
  <c r="G150" i="5"/>
  <c r="G243" i="5"/>
  <c r="H170" i="5"/>
  <c r="H199" i="5"/>
  <c r="H90" i="5"/>
  <c r="G211" i="5"/>
  <c r="G305" i="5"/>
  <c r="H30" i="5"/>
  <c r="H237" i="5"/>
  <c r="H139" i="5"/>
  <c r="H290" i="5"/>
  <c r="H25" i="5"/>
  <c r="G247" i="5"/>
  <c r="H86" i="5"/>
  <c r="H187" i="5"/>
  <c r="G60" i="5"/>
  <c r="H7" i="5"/>
  <c r="H41" i="5"/>
  <c r="H215" i="5"/>
  <c r="D7" i="5"/>
  <c r="F147" i="5"/>
  <c r="E294" i="5"/>
  <c r="F103" i="5"/>
  <c r="F79" i="5"/>
  <c r="E159" i="5"/>
  <c r="D302" i="5"/>
  <c r="F279" i="5"/>
  <c r="D258" i="5"/>
  <c r="F235" i="5"/>
  <c r="D218" i="5"/>
  <c r="E27" i="5"/>
  <c r="D178" i="5"/>
  <c r="F320" i="5"/>
  <c r="D292" i="5"/>
  <c r="D269" i="5"/>
  <c r="D241" i="5"/>
  <c r="E218" i="5"/>
  <c r="F30" i="5"/>
  <c r="D12" i="5"/>
  <c r="D163" i="5"/>
  <c r="D140" i="5"/>
  <c r="F332" i="5"/>
  <c r="D313" i="5"/>
  <c r="F293" i="5"/>
  <c r="E106" i="5"/>
  <c r="D256" i="5"/>
  <c r="D68" i="5"/>
  <c r="F222" i="5"/>
  <c r="D36" i="5"/>
  <c r="F19" i="5"/>
  <c r="E341" i="5"/>
  <c r="E325" i="5"/>
  <c r="E309" i="5"/>
  <c r="E293" i="5"/>
  <c r="E275" i="5"/>
  <c r="E259" i="5"/>
  <c r="D74" i="5"/>
  <c r="D171" i="5"/>
  <c r="D155" i="5"/>
  <c r="D139" i="5"/>
  <c r="F305" i="5"/>
  <c r="F276" i="5"/>
  <c r="F81" i="5"/>
  <c r="D59" i="5"/>
  <c r="F210" i="5"/>
  <c r="D192" i="5"/>
  <c r="F342" i="5"/>
  <c r="D132" i="5"/>
  <c r="E273" i="5"/>
  <c r="F78" i="5"/>
  <c r="F226" i="5"/>
  <c r="D208" i="5"/>
  <c r="E20" i="5"/>
  <c r="F217" i="5"/>
  <c r="E5" i="5"/>
  <c r="E249" i="5"/>
  <c r="F31" i="5"/>
  <c r="D151" i="5"/>
  <c r="D99" i="5"/>
  <c r="D225" i="5"/>
  <c r="D21" i="5"/>
  <c r="F110" i="5"/>
  <c r="E153" i="5"/>
  <c r="D123" i="5"/>
  <c r="E100" i="5"/>
  <c r="E247" i="5"/>
  <c r="D228" i="5"/>
  <c r="F42" i="5"/>
  <c r="E26" i="5"/>
  <c r="E179" i="5"/>
  <c r="E281" i="5"/>
  <c r="D89" i="5"/>
  <c r="F67" i="5"/>
  <c r="H159" i="5"/>
  <c r="G153" i="5"/>
  <c r="G111" i="5"/>
  <c r="H313" i="5"/>
  <c r="G274" i="5"/>
  <c r="G319" i="5"/>
  <c r="G279" i="5"/>
  <c r="G63" i="5"/>
  <c r="G21" i="5"/>
  <c r="G164" i="5"/>
  <c r="G248" i="5"/>
  <c r="G324" i="5"/>
  <c r="G253" i="5"/>
  <c r="H204" i="5"/>
  <c r="H310" i="5"/>
  <c r="G330" i="5"/>
  <c r="G315" i="5"/>
  <c r="H166" i="5"/>
  <c r="H75" i="5"/>
  <c r="H210" i="5"/>
  <c r="H116" i="5"/>
  <c r="H196" i="5"/>
  <c r="G229" i="5"/>
  <c r="H104" i="5"/>
  <c r="H263" i="5"/>
  <c r="H18" i="5"/>
  <c r="H233" i="5"/>
  <c r="G84" i="5"/>
  <c r="G339" i="5"/>
  <c r="H55" i="5"/>
  <c r="G331" i="5"/>
  <c r="G209" i="5"/>
  <c r="H211" i="5"/>
  <c r="D170" i="5"/>
  <c r="D146" i="5"/>
  <c r="D122" i="5"/>
  <c r="D102" i="5"/>
  <c r="F75" i="5"/>
  <c r="D322" i="5"/>
  <c r="E131" i="5"/>
  <c r="E107" i="5"/>
  <c r="E87" i="5"/>
  <c r="D234" i="5"/>
  <c r="D214" i="5"/>
  <c r="F195" i="5"/>
  <c r="D340" i="5"/>
  <c r="E149" i="5"/>
  <c r="F290" i="5"/>
  <c r="E94" i="5"/>
  <c r="D70" i="5"/>
  <c r="D215" i="5"/>
  <c r="F198" i="5"/>
  <c r="D180" i="5"/>
  <c r="E329" i="5"/>
  <c r="F138" i="5"/>
  <c r="E161" i="5"/>
  <c r="F309" i="5"/>
  <c r="E122" i="5"/>
  <c r="E104" i="5"/>
  <c r="F252" i="5"/>
  <c r="D236" i="5"/>
  <c r="F51" i="5"/>
  <c r="D33" i="5"/>
  <c r="E187" i="5"/>
  <c r="E339" i="5"/>
  <c r="E323" i="5"/>
  <c r="E307" i="5"/>
  <c r="D120" i="5"/>
  <c r="D104" i="5"/>
  <c r="D88" i="5"/>
  <c r="F72" i="5"/>
  <c r="F169" i="5"/>
  <c r="F153" i="5"/>
  <c r="E173" i="5"/>
  <c r="E299" i="5"/>
  <c r="F273" i="5"/>
  <c r="D248" i="5"/>
  <c r="D57" i="5"/>
  <c r="E208" i="5"/>
  <c r="F20" i="5"/>
  <c r="F337" i="5"/>
  <c r="D296" i="5"/>
  <c r="D101" i="5"/>
  <c r="D75" i="5"/>
  <c r="F224" i="5"/>
  <c r="E206" i="5"/>
  <c r="F18" i="5"/>
  <c r="E211" i="5"/>
  <c r="D300" i="5"/>
  <c r="E241" i="5"/>
  <c r="D197" i="5"/>
  <c r="E141" i="5"/>
  <c r="E93" i="5"/>
  <c r="D221" i="5"/>
  <c r="D17" i="5"/>
  <c r="F104" i="5"/>
  <c r="E148" i="5"/>
  <c r="F120" i="5"/>
  <c r="E267" i="5"/>
  <c r="F244" i="5"/>
  <c r="E226" i="5"/>
  <c r="E40" i="5"/>
  <c r="D24" i="5"/>
  <c r="F177" i="5"/>
  <c r="F278" i="5"/>
  <c r="E255" i="5"/>
  <c r="E234" i="5"/>
  <c r="D48" i="5"/>
  <c r="D32" i="5"/>
  <c r="E185" i="5"/>
  <c r="E331" i="5"/>
  <c r="E128" i="5"/>
  <c r="F105" i="5"/>
  <c r="D252" i="5"/>
  <c r="E62" i="5"/>
  <c r="F209" i="5"/>
  <c r="F9" i="5"/>
  <c r="E303" i="5"/>
  <c r="F96" i="5"/>
  <c r="E231" i="5"/>
  <c r="D205" i="5"/>
  <c r="D11" i="5"/>
  <c r="D119" i="5"/>
  <c r="D243" i="5"/>
  <c r="F43" i="5"/>
  <c r="F182" i="5"/>
  <c r="F310" i="5"/>
  <c r="H151" i="5"/>
  <c r="G137" i="5"/>
  <c r="G103" i="5"/>
  <c r="H299" i="5"/>
  <c r="H258" i="5"/>
  <c r="G140" i="5"/>
  <c r="G92" i="5"/>
  <c r="G55" i="5"/>
  <c r="G13" i="5"/>
  <c r="H142" i="5"/>
  <c r="H239" i="5"/>
  <c r="G128" i="5"/>
  <c r="G251" i="5"/>
  <c r="G198" i="5"/>
  <c r="G288" i="5"/>
  <c r="G318" i="5"/>
  <c r="H271" i="5"/>
  <c r="H317" i="5"/>
  <c r="G231" i="5"/>
  <c r="H190" i="5"/>
  <c r="H102" i="5"/>
  <c r="G158" i="5"/>
  <c r="G50" i="5"/>
  <c r="H240" i="5"/>
  <c r="G70" i="5"/>
  <c r="G174" i="5"/>
  <c r="H193" i="5"/>
  <c r="G236" i="5"/>
  <c r="G298" i="5"/>
  <c r="H200" i="5"/>
  <c r="G271" i="5"/>
  <c r="G144" i="5"/>
  <c r="H15" i="5"/>
  <c r="E334" i="5"/>
  <c r="D138" i="5"/>
  <c r="E286" i="5"/>
  <c r="E262" i="5"/>
  <c r="D342" i="5"/>
  <c r="D318" i="5"/>
  <c r="F295" i="5"/>
  <c r="D274" i="5"/>
  <c r="F247" i="5"/>
  <c r="F231" i="5"/>
  <c r="D210" i="5"/>
  <c r="D190" i="5"/>
  <c r="F336" i="5"/>
  <c r="D308" i="5"/>
  <c r="D285" i="5"/>
  <c r="F256" i="5"/>
  <c r="F233" i="5"/>
  <c r="D212" i="5"/>
  <c r="E24" i="5"/>
  <c r="D174" i="5"/>
  <c r="F154" i="5"/>
  <c r="E304" i="5"/>
  <c r="E154" i="5"/>
  <c r="E136" i="5"/>
  <c r="D288" i="5"/>
  <c r="E97" i="5"/>
  <c r="D249" i="5"/>
  <c r="D233" i="5"/>
  <c r="E45" i="5"/>
  <c r="D30" i="5"/>
  <c r="E184" i="5"/>
  <c r="F166" i="5"/>
  <c r="F148" i="5"/>
  <c r="F132" i="5"/>
  <c r="F116" i="5"/>
  <c r="F100" i="5"/>
  <c r="F84" i="5"/>
  <c r="F69" i="5"/>
  <c r="E335" i="5"/>
  <c r="D148" i="5"/>
  <c r="F328" i="5"/>
  <c r="D124" i="5"/>
  <c r="F98" i="5"/>
  <c r="E73" i="5"/>
  <c r="D53" i="5"/>
  <c r="E204" i="5"/>
  <c r="F14" i="5"/>
  <c r="D323" i="5"/>
  <c r="D121" i="5"/>
  <c r="F264" i="5"/>
  <c r="F70" i="5"/>
  <c r="E220" i="5"/>
  <c r="F32" i="5"/>
  <c r="E12" i="5"/>
  <c r="E197" i="5"/>
  <c r="E280" i="5"/>
  <c r="E225" i="5"/>
  <c r="D13" i="5"/>
  <c r="E297" i="5"/>
  <c r="E82" i="5"/>
  <c r="F41" i="5"/>
  <c r="E176" i="5"/>
  <c r="D96" i="5"/>
  <c r="F308" i="5"/>
  <c r="D284" i="5"/>
  <c r="D92" i="5"/>
  <c r="E70" i="5"/>
  <c r="F52" i="5"/>
  <c r="E36" i="5"/>
  <c r="D20" i="5"/>
  <c r="E295" i="5"/>
  <c r="D103" i="5"/>
  <c r="E80" i="5"/>
  <c r="E60" i="5"/>
  <c r="E44" i="5"/>
  <c r="F197" i="5"/>
  <c r="D181" i="5"/>
  <c r="F321" i="5"/>
  <c r="E292" i="5"/>
  <c r="F269" i="5"/>
  <c r="D77" i="5"/>
  <c r="E58" i="5"/>
  <c r="E201" i="5"/>
  <c r="F330" i="5"/>
  <c r="D125" i="5"/>
  <c r="F85" i="5"/>
  <c r="D58" i="5"/>
  <c r="F29" i="5"/>
  <c r="D5" i="5"/>
  <c r="D105" i="5"/>
  <c r="E66" i="5"/>
  <c r="E33" i="5"/>
  <c r="F174" i="5"/>
  <c r="F133" i="5"/>
  <c r="D167" i="5"/>
  <c r="E301" i="5"/>
  <c r="D66" i="5"/>
  <c r="E233" i="5"/>
  <c r="E182" i="5"/>
  <c r="E41" i="5"/>
  <c r="F53" i="5"/>
  <c r="D8" i="1"/>
  <c r="H6" i="4"/>
  <c r="F63" i="1"/>
  <c r="F27" i="1"/>
  <c r="E23" i="1"/>
  <c r="E17" i="1"/>
  <c r="F62" i="1"/>
  <c r="D56" i="1"/>
  <c r="H7" i="1"/>
  <c r="D20" i="1"/>
  <c r="H14" i="1"/>
  <c r="G50" i="1"/>
  <c r="F48" i="1"/>
  <c r="D61" i="1"/>
  <c r="D42" i="1"/>
  <c r="G6" i="1"/>
  <c r="D28" i="1"/>
  <c r="H59" i="1"/>
  <c r="E46" i="1"/>
  <c r="G41" i="1"/>
  <c r="D25" i="1"/>
  <c r="E37" i="1"/>
  <c r="G30" i="1"/>
  <c r="G46" i="1"/>
  <c r="F5" i="1"/>
  <c r="G31" i="1"/>
  <c r="D45" i="1"/>
  <c r="H153" i="5"/>
  <c r="G129" i="5"/>
  <c r="H128" i="5"/>
  <c r="G170" i="5"/>
  <c r="G85" i="5"/>
  <c r="G15" i="5"/>
  <c r="G285" i="5"/>
  <c r="H295" i="5"/>
  <c r="G223" i="5"/>
  <c r="G273" i="5"/>
  <c r="H120" i="5"/>
  <c r="G275" i="5"/>
  <c r="H183" i="5"/>
  <c r="H209" i="5"/>
  <c r="H182" i="5"/>
  <c r="H91" i="5"/>
  <c r="H84" i="5"/>
  <c r="H39" i="5"/>
  <c r="H231" i="5"/>
  <c r="G235" i="5"/>
  <c r="G195" i="5"/>
  <c r="D154" i="5"/>
  <c r="F115" i="5"/>
  <c r="D82" i="5"/>
  <c r="E143" i="5"/>
  <c r="F275" i="5"/>
  <c r="F243" i="5"/>
  <c r="F207" i="5"/>
  <c r="D182" i="5"/>
  <c r="F304" i="5"/>
  <c r="D260" i="5"/>
  <c r="E56" i="5"/>
  <c r="E21" i="5"/>
  <c r="E336" i="5"/>
  <c r="E168" i="5"/>
  <c r="E138" i="5"/>
  <c r="D279" i="5"/>
  <c r="D247" i="5"/>
  <c r="F54" i="5"/>
  <c r="F196" i="5"/>
  <c r="D168" i="5"/>
  <c r="D143" i="5"/>
  <c r="E284" i="5"/>
  <c r="E261" i="5"/>
  <c r="F234" i="5"/>
  <c r="E321" i="5"/>
  <c r="F314" i="5"/>
  <c r="E265" i="5"/>
  <c r="E61" i="5"/>
  <c r="E198" i="5"/>
  <c r="D328" i="5"/>
  <c r="E112" i="5"/>
  <c r="E237" i="5"/>
  <c r="F40" i="5"/>
  <c r="D8" i="5"/>
  <c r="F122" i="5"/>
  <c r="D211" i="5"/>
  <c r="D291" i="5"/>
  <c r="E229" i="5"/>
  <c r="E130" i="5"/>
  <c r="D144" i="5"/>
  <c r="F106" i="5"/>
  <c r="D237" i="5"/>
  <c r="F44" i="5"/>
  <c r="F185" i="5"/>
  <c r="D275" i="5"/>
  <c r="D72" i="5"/>
  <c r="E46" i="5"/>
  <c r="E193" i="5"/>
  <c r="F340" i="5"/>
  <c r="E125" i="5"/>
  <c r="F94" i="5"/>
  <c r="D67" i="5"/>
  <c r="E205" i="5"/>
  <c r="D321" i="5"/>
  <c r="D108" i="5"/>
  <c r="F229" i="5"/>
  <c r="F23" i="5"/>
  <c r="F130" i="5"/>
  <c r="F238" i="5"/>
  <c r="D27" i="5"/>
  <c r="E150" i="5"/>
  <c r="D271" i="5"/>
  <c r="D135" i="5"/>
  <c r="E49" i="5"/>
  <c r="F200" i="5"/>
  <c r="D43" i="5"/>
  <c r="F55" i="5"/>
  <c r="D9" i="1"/>
  <c r="H18" i="1"/>
  <c r="D21" i="1"/>
  <c r="E53" i="1"/>
  <c r="E20" i="1"/>
  <c r="K20" i="1" s="1"/>
  <c r="E43" i="1"/>
  <c r="E28" i="1"/>
  <c r="D12" i="1"/>
  <c r="G14" i="1"/>
  <c r="E5" i="1"/>
  <c r="F36" i="1"/>
  <c r="H41" i="1"/>
  <c r="H13" i="1"/>
  <c r="D58" i="1"/>
  <c r="G4" i="5"/>
  <c r="F6" i="4"/>
  <c r="F39" i="1"/>
  <c r="E31" i="1"/>
  <c r="D7" i="1"/>
  <c r="D17" i="1"/>
  <c r="I28" i="1"/>
  <c r="F4" i="5"/>
  <c r="F24" i="1"/>
  <c r="F56" i="1"/>
  <c r="H16" i="1"/>
  <c r="H51" i="1"/>
  <c r="E45" i="1"/>
  <c r="G19" i="1"/>
  <c r="G59" i="1"/>
  <c r="D59" i="1"/>
  <c r="D54" i="1"/>
  <c r="F26" i="1"/>
  <c r="E22" i="1"/>
  <c r="G10" i="1"/>
  <c r="F50" i="1"/>
  <c r="K17" i="1"/>
  <c r="D5" i="1"/>
  <c r="G55" i="1"/>
  <c r="L254" i="5"/>
  <c r="J171" i="5"/>
  <c r="J155" i="5"/>
  <c r="H147" i="5"/>
  <c r="G119" i="5"/>
  <c r="H125" i="5"/>
  <c r="G146" i="5"/>
  <c r="G81" i="5"/>
  <c r="G7" i="5"/>
  <c r="G283" i="5"/>
  <c r="G287" i="5"/>
  <c r="G30" i="5"/>
  <c r="G266" i="5"/>
  <c r="G268" i="5"/>
  <c r="H261" i="5"/>
  <c r="H11" i="5"/>
  <c r="H189" i="5"/>
  <c r="H9" i="5"/>
  <c r="H54" i="5"/>
  <c r="G82" i="5"/>
  <c r="H194" i="5"/>
  <c r="H43" i="5"/>
  <c r="G48" i="5"/>
  <c r="G6" i="5"/>
  <c r="E318" i="5"/>
  <c r="I318" i="5" s="1"/>
  <c r="F111" i="5"/>
  <c r="F343" i="5"/>
  <c r="E139" i="5"/>
  <c r="D270" i="5"/>
  <c r="D238" i="5"/>
  <c r="D206" i="5"/>
  <c r="F338" i="5"/>
  <c r="E133" i="5"/>
  <c r="E85" i="5"/>
  <c r="E224" i="5"/>
  <c r="E18" i="5"/>
  <c r="D156" i="5"/>
  <c r="D336" i="5"/>
  <c r="D304" i="5"/>
  <c r="F277" i="5"/>
  <c r="F245" i="5"/>
  <c r="E48" i="5"/>
  <c r="F193" i="5"/>
  <c r="E332" i="5"/>
  <c r="F141" i="5"/>
  <c r="D113" i="5"/>
  <c r="F86" i="5"/>
  <c r="F63" i="5"/>
  <c r="F146" i="5"/>
  <c r="F140" i="5"/>
  <c r="F262" i="5"/>
  <c r="D55" i="5"/>
  <c r="D196" i="5"/>
  <c r="F149" i="5"/>
  <c r="E109" i="5"/>
  <c r="D235" i="5"/>
  <c r="F34" i="5"/>
  <c r="E6" i="5"/>
  <c r="E105" i="5"/>
  <c r="F37" i="5"/>
  <c r="D116" i="5"/>
  <c r="F45" i="5"/>
  <c r="F121" i="5"/>
  <c r="D305" i="5"/>
  <c r="D273" i="5"/>
  <c r="E65" i="5"/>
  <c r="F38" i="5"/>
  <c r="D14" i="5"/>
  <c r="D100" i="5"/>
  <c r="E239" i="5"/>
  <c r="D42" i="5"/>
  <c r="E191" i="5"/>
  <c r="E166" i="5"/>
  <c r="E289" i="5"/>
  <c r="D91" i="5"/>
  <c r="F64" i="5"/>
  <c r="D199" i="5"/>
  <c r="D316" i="5"/>
  <c r="E102" i="5"/>
  <c r="E223" i="5"/>
  <c r="D19" i="5"/>
  <c r="F294" i="5"/>
  <c r="D231" i="5"/>
  <c r="D23" i="5"/>
  <c r="E315" i="5"/>
  <c r="D341" i="5"/>
  <c r="F128" i="5"/>
  <c r="F202" i="5"/>
  <c r="D184" i="5"/>
  <c r="E196" i="5"/>
  <c r="F208" i="5"/>
  <c r="H20" i="1"/>
  <c r="F16" i="1"/>
  <c r="E25" i="1"/>
  <c r="F7" i="1"/>
  <c r="E34" i="1"/>
  <c r="E24" i="1"/>
  <c r="G5" i="1"/>
  <c r="E8" i="1"/>
  <c r="G6" i="4"/>
  <c r="F47" i="1"/>
  <c r="H55" i="1"/>
  <c r="E19" i="1"/>
  <c r="D51" i="1"/>
  <c r="E15" i="1"/>
  <c r="F60" i="1"/>
  <c r="H61" i="1"/>
  <c r="E55" i="1"/>
  <c r="G22" i="1"/>
  <c r="F8" i="1"/>
  <c r="E44" i="1"/>
  <c r="F17" i="1"/>
  <c r="E52" i="1"/>
  <c r="I25" i="1"/>
  <c r="E6" i="1"/>
  <c r="E21" i="1"/>
  <c r="D22" i="1"/>
  <c r="F28" i="1"/>
  <c r="F4" i="1"/>
  <c r="F23" i="1"/>
  <c r="D47" i="1"/>
  <c r="H56" i="1"/>
  <c r="H37" i="1"/>
  <c r="F10" i="1"/>
  <c r="H36" i="1"/>
  <c r="G21" i="1"/>
  <c r="H5" i="1"/>
  <c r="G25" i="1"/>
  <c r="G52" i="1"/>
  <c r="K22" i="1"/>
  <c r="K326" i="5"/>
  <c r="L318" i="5"/>
  <c r="L294" i="5"/>
  <c r="I262" i="5"/>
  <c r="I254" i="5"/>
  <c r="L171" i="5"/>
  <c r="I155" i="5"/>
  <c r="I139" i="5"/>
  <c r="L123" i="5"/>
  <c r="L99" i="5"/>
  <c r="K91" i="5"/>
  <c r="K67" i="5"/>
  <c r="K55" i="5"/>
  <c r="K43" i="5"/>
  <c r="L23" i="5"/>
  <c r="I11" i="5"/>
  <c r="K149" i="5"/>
  <c r="K133" i="5"/>
  <c r="K124" i="5"/>
  <c r="I108" i="5"/>
  <c r="L92" i="5"/>
  <c r="L53" i="5"/>
  <c r="L218" i="5"/>
  <c r="G163" i="5"/>
  <c r="G95" i="5"/>
  <c r="G277" i="5"/>
  <c r="H127" i="5"/>
  <c r="G61" i="5"/>
  <c r="H334" i="5"/>
  <c r="H65" i="5"/>
  <c r="H100" i="5"/>
  <c r="H17" i="5"/>
  <c r="G322" i="5"/>
  <c r="H245" i="5"/>
  <c r="G228" i="5"/>
  <c r="G338" i="5"/>
  <c r="G297" i="5"/>
  <c r="H74" i="5"/>
  <c r="H45" i="5"/>
  <c r="H192" i="5"/>
  <c r="G20" i="5"/>
  <c r="H22" i="5"/>
  <c r="G168" i="5"/>
  <c r="H205" i="5"/>
  <c r="F135" i="5"/>
  <c r="E274" i="5"/>
  <c r="E163" i="5"/>
  <c r="F299" i="5"/>
  <c r="F263" i="5"/>
  <c r="D226" i="5"/>
  <c r="F199" i="5"/>
  <c r="E158" i="5"/>
  <c r="F288" i="5"/>
  <c r="E78" i="5"/>
  <c r="K78" i="5" s="1"/>
  <c r="D41" i="5"/>
  <c r="D15" i="5"/>
  <c r="E320" i="5"/>
  <c r="D327" i="5"/>
  <c r="E129" i="5"/>
  <c r="D265" i="5"/>
  <c r="D239" i="5"/>
  <c r="E42" i="5"/>
  <c r="E16" i="5"/>
  <c r="D159" i="5"/>
  <c r="E300" i="5"/>
  <c r="F109" i="5"/>
  <c r="D81" i="5"/>
  <c r="E337" i="5"/>
  <c r="E312" i="5"/>
  <c r="E121" i="5"/>
  <c r="D84" i="5"/>
  <c r="F216" i="5"/>
  <c r="D188" i="5"/>
  <c r="D309" i="5"/>
  <c r="F92" i="5"/>
  <c r="E228" i="5"/>
  <c r="F26" i="5"/>
  <c r="E203" i="5"/>
  <c r="E263" i="5"/>
  <c r="F176" i="5"/>
  <c r="D277" i="5"/>
  <c r="F35" i="5"/>
  <c r="D268" i="5"/>
  <c r="F298" i="5"/>
  <c r="E89" i="5"/>
  <c r="E230" i="5"/>
  <c r="E32" i="5"/>
  <c r="E175" i="5"/>
  <c r="D264" i="5"/>
  <c r="F58" i="5"/>
  <c r="E38" i="5"/>
  <c r="D187" i="5"/>
  <c r="E317" i="5"/>
  <c r="E114" i="5"/>
  <c r="D255" i="5"/>
  <c r="D56" i="5"/>
  <c r="D191" i="5"/>
  <c r="F137" i="5"/>
  <c r="F82" i="5"/>
  <c r="E217" i="5"/>
  <c r="F15" i="5"/>
  <c r="E271" i="5"/>
  <c r="D223" i="5"/>
  <c r="F184" i="5"/>
  <c r="F296" i="5"/>
  <c r="E157" i="5"/>
  <c r="E238" i="5"/>
  <c r="D176" i="5"/>
  <c r="F61" i="5"/>
  <c r="D76" i="5"/>
  <c r="D93" i="5"/>
  <c r="G20" i="1"/>
  <c r="H57" i="1"/>
  <c r="H29" i="1"/>
  <c r="F30" i="1"/>
  <c r="F6" i="1"/>
  <c r="E33" i="1"/>
  <c r="G39" i="1"/>
  <c r="F38" i="1"/>
  <c r="E7" i="1"/>
  <c r="I7" i="1" s="1"/>
  <c r="F40" i="1"/>
  <c r="G58" i="1"/>
  <c r="G48" i="1"/>
  <c r="E13" i="1"/>
  <c r="E30" i="1"/>
  <c r="H15" i="1"/>
  <c r="D41" i="1"/>
  <c r="F55" i="1"/>
  <c r="E62" i="1"/>
  <c r="D13" i="1"/>
  <c r="G38" i="1"/>
  <c r="E54" i="1"/>
  <c r="L54" i="1" s="1"/>
  <c r="G56" i="1"/>
  <c r="L20" i="1"/>
  <c r="E41" i="1"/>
  <c r="I41" i="1" s="1"/>
  <c r="F37" i="1"/>
  <c r="E38" i="1"/>
  <c r="H63" i="1"/>
  <c r="G54" i="1"/>
  <c r="G36" i="1"/>
  <c r="E47" i="1"/>
  <c r="E11" i="1"/>
  <c r="E61" i="1"/>
  <c r="K61" i="1" s="1"/>
  <c r="D32" i="1"/>
  <c r="D14" i="1"/>
  <c r="H39" i="1"/>
  <c r="H44" i="1"/>
  <c r="E60" i="1"/>
  <c r="F21" i="1"/>
  <c r="H24" i="1"/>
  <c r="L21" i="1"/>
  <c r="I45" i="1"/>
  <c r="J47" i="1"/>
  <c r="I5" i="1"/>
  <c r="L7" i="5"/>
  <c r="K334" i="5"/>
  <c r="L326" i="5"/>
  <c r="I294" i="5"/>
  <c r="L282" i="5"/>
  <c r="L270" i="5"/>
  <c r="L262" i="5"/>
  <c r="I250" i="5"/>
  <c r="I171" i="5"/>
  <c r="L163" i="5"/>
  <c r="L155" i="5"/>
  <c r="L139" i="5"/>
  <c r="K123" i="5"/>
  <c r="I99" i="5"/>
  <c r="I91" i="5"/>
  <c r="I43" i="5"/>
  <c r="I19" i="5"/>
  <c r="L11" i="5"/>
  <c r="K158" i="5"/>
  <c r="L133" i="5"/>
  <c r="K92" i="5"/>
  <c r="L76" i="5"/>
  <c r="K56" i="5"/>
  <c r="K221" i="5"/>
  <c r="I192" i="5"/>
  <c r="K329" i="5"/>
  <c r="K170" i="5"/>
  <c r="L138" i="5"/>
  <c r="I113" i="5"/>
  <c r="K88" i="5"/>
  <c r="K48" i="5"/>
  <c r="J187" i="5"/>
  <c r="I184" i="5"/>
  <c r="K341" i="5"/>
  <c r="L323" i="5"/>
  <c r="L309" i="5"/>
  <c r="L300" i="5"/>
  <c r="K291" i="5"/>
  <c r="L277" i="5"/>
  <c r="K132" i="5"/>
  <c r="K121" i="5"/>
  <c r="K265" i="5"/>
  <c r="I208" i="5"/>
  <c r="K198" i="5"/>
  <c r="L333" i="5"/>
  <c r="L237" i="5"/>
  <c r="I206" i="5"/>
  <c r="I14" i="5"/>
  <c r="I6" i="5"/>
  <c r="K207" i="5"/>
  <c r="K197" i="5"/>
  <c r="L249" i="5"/>
  <c r="K225" i="5"/>
  <c r="L297" i="5"/>
  <c r="I148" i="5"/>
  <c r="L267" i="5"/>
  <c r="G169" i="5"/>
  <c r="H330" i="5"/>
  <c r="H285" i="5"/>
  <c r="G33" i="5"/>
  <c r="H340" i="5"/>
  <c r="H191" i="5"/>
  <c r="G134" i="5"/>
  <c r="G227" i="5"/>
  <c r="G210" i="5"/>
  <c r="H232" i="5"/>
  <c r="G206" i="5"/>
  <c r="H105" i="5"/>
  <c r="G289" i="5"/>
  <c r="F159" i="5"/>
  <c r="F91" i="5"/>
  <c r="D306" i="5"/>
  <c r="D246" i="5"/>
  <c r="D194" i="5"/>
  <c r="F306" i="5"/>
  <c r="F68" i="5"/>
  <c r="E186" i="5"/>
  <c r="F136" i="5"/>
  <c r="D295" i="5"/>
  <c r="E81" i="5"/>
  <c r="D39" i="5"/>
  <c r="D161" i="5"/>
  <c r="I161" i="5" s="1"/>
  <c r="F125" i="5"/>
  <c r="F77" i="5"/>
  <c r="D157" i="5"/>
  <c r="E285" i="5"/>
  <c r="L285" i="5" s="1"/>
  <c r="F220" i="5"/>
  <c r="E8" i="5"/>
  <c r="F89" i="5"/>
  <c r="E212" i="5"/>
  <c r="D189" i="5"/>
  <c r="F21" i="5"/>
  <c r="F71" i="5"/>
  <c r="F172" i="5"/>
  <c r="D109" i="5"/>
  <c r="D220" i="5"/>
  <c r="F181" i="5"/>
  <c r="E77" i="5"/>
  <c r="F205" i="5"/>
  <c r="F5" i="5"/>
  <c r="F108" i="5"/>
  <c r="D60" i="5"/>
  <c r="D335" i="5"/>
  <c r="I335" i="5" s="1"/>
  <c r="F246" i="5"/>
  <c r="E25" i="5"/>
  <c r="E260" i="5"/>
  <c r="F188" i="5"/>
  <c r="F282" i="5"/>
  <c r="D51" i="5"/>
  <c r="F47" i="5"/>
  <c r="F194" i="5"/>
  <c r="F14" i="1"/>
  <c r="F8" i="3"/>
  <c r="H50" i="1"/>
  <c r="D23" i="1"/>
  <c r="I23" i="1" s="1"/>
  <c r="F41" i="1"/>
  <c r="G13" i="1"/>
  <c r="D39" i="1"/>
  <c r="D26" i="1"/>
  <c r="G24" i="1"/>
  <c r="F12" i="1"/>
  <c r="G33" i="1"/>
  <c r="H49" i="1"/>
  <c r="G11" i="1"/>
  <c r="E59" i="1"/>
  <c r="K59" i="1" s="1"/>
  <c r="G61" i="1"/>
  <c r="D11" i="1"/>
  <c r="E56" i="1"/>
  <c r="E27" i="1"/>
  <c r="D10" i="1"/>
  <c r="G53" i="1"/>
  <c r="H43" i="1"/>
  <c r="G16" i="1"/>
  <c r="L41" i="1"/>
  <c r="D34" i="1"/>
  <c r="I56" i="1"/>
  <c r="I59" i="1"/>
  <c r="I54" i="1"/>
  <c r="L334" i="5"/>
  <c r="K282" i="5"/>
  <c r="K246" i="5"/>
  <c r="I163" i="5"/>
  <c r="L151" i="5"/>
  <c r="J139" i="5"/>
  <c r="I87" i="5"/>
  <c r="I47" i="5"/>
  <c r="L19" i="5"/>
  <c r="L172" i="5"/>
  <c r="I149" i="5"/>
  <c r="K94" i="5"/>
  <c r="K76" i="5"/>
  <c r="I218" i="5"/>
  <c r="K192" i="5"/>
  <c r="J336" i="5"/>
  <c r="K327" i="5"/>
  <c r="L313" i="5"/>
  <c r="L304" i="5"/>
  <c r="J161" i="5"/>
  <c r="K138" i="5"/>
  <c r="I122" i="5"/>
  <c r="I74" i="5"/>
  <c r="I48" i="5"/>
  <c r="L187" i="5"/>
  <c r="L13" i="5"/>
  <c r="J309" i="5"/>
  <c r="I300" i="5"/>
  <c r="I291" i="5"/>
  <c r="J275" i="5"/>
  <c r="J335" i="5"/>
  <c r="I321" i="5"/>
  <c r="J299" i="5"/>
  <c r="I121" i="5"/>
  <c r="L279" i="5"/>
  <c r="K204" i="5"/>
  <c r="I198" i="5"/>
  <c r="K333" i="5"/>
  <c r="J109" i="5"/>
  <c r="K273" i="5"/>
  <c r="L228" i="5"/>
  <c r="L206" i="5"/>
  <c r="L211" i="5"/>
  <c r="I340" i="5"/>
  <c r="K241" i="5"/>
  <c r="I225" i="5"/>
  <c r="L93" i="5"/>
  <c r="K82" i="5"/>
  <c r="K176" i="5"/>
  <c r="K148" i="5"/>
  <c r="I267" i="5"/>
  <c r="I89" i="5"/>
  <c r="K230" i="5"/>
  <c r="I295" i="5"/>
  <c r="L255" i="5"/>
  <c r="L77" i="5"/>
  <c r="I239" i="5"/>
  <c r="K60" i="5"/>
  <c r="I191" i="5"/>
  <c r="I125" i="5"/>
  <c r="I62" i="5"/>
  <c r="L205" i="5"/>
  <c r="L231" i="5"/>
  <c r="G161" i="5"/>
  <c r="G309" i="5"/>
  <c r="H282" i="5"/>
  <c r="G5" i="5"/>
  <c r="G332" i="5"/>
  <c r="H175" i="5"/>
  <c r="H294" i="5"/>
  <c r="G220" i="5"/>
  <c r="H140" i="5"/>
  <c r="H316" i="5"/>
  <c r="H185" i="5"/>
  <c r="H73" i="5"/>
  <c r="H117" i="5"/>
  <c r="E314" i="5"/>
  <c r="D90" i="5"/>
  <c r="D290" i="5"/>
  <c r="E75" i="5"/>
  <c r="D186" i="5"/>
  <c r="E126" i="5"/>
  <c r="I126" i="5" s="1"/>
  <c r="F59" i="5"/>
  <c r="D177" i="5"/>
  <c r="D343" i="5"/>
  <c r="E120" i="5"/>
  <c r="E242" i="5"/>
  <c r="K242" i="5" s="1"/>
  <c r="D201" i="5"/>
  <c r="F157" i="5"/>
  <c r="F118" i="5"/>
  <c r="E245" i="5"/>
  <c r="F144" i="5"/>
  <c r="F112" i="5"/>
  <c r="F214" i="5"/>
  <c r="F6" i="5"/>
  <c r="E256" i="5"/>
  <c r="L256" i="5" s="1"/>
  <c r="E28" i="5"/>
  <c r="D185" i="5"/>
  <c r="D339" i="5"/>
  <c r="L339" i="5" s="1"/>
  <c r="D64" i="5"/>
  <c r="D337" i="5"/>
  <c r="E264" i="5"/>
  <c r="F48" i="5"/>
  <c r="F292" i="5"/>
  <c r="E244" i="5"/>
  <c r="D34" i="5"/>
  <c r="F326" i="5"/>
  <c r="E272" i="5"/>
  <c r="K272" i="5" s="1"/>
  <c r="D52" i="5"/>
  <c r="F156" i="5"/>
  <c r="E243" i="5"/>
  <c r="K243" i="5" s="1"/>
  <c r="E17" i="5"/>
  <c r="D85" i="5"/>
  <c r="F178" i="5"/>
  <c r="D107" i="5"/>
  <c r="D35" i="5"/>
  <c r="E251" i="5"/>
  <c r="F8" i="5"/>
  <c r="D15" i="1"/>
  <c r="I15" i="1" s="1"/>
  <c r="F22" i="1"/>
  <c r="J22" i="1" s="1"/>
  <c r="D31" i="1"/>
  <c r="K31" i="1" s="1"/>
  <c r="H32" i="1"/>
  <c r="F19" i="1"/>
  <c r="H19" i="1"/>
  <c r="F58" i="1"/>
  <c r="G8" i="3"/>
  <c r="H23" i="1"/>
  <c r="H6" i="1"/>
  <c r="D24" i="1"/>
  <c r="K24" i="1" s="1"/>
  <c r="G47" i="1"/>
  <c r="G18" i="1"/>
  <c r="D57" i="1"/>
  <c r="K23" i="1"/>
  <c r="D62" i="1"/>
  <c r="L62" i="1" s="1"/>
  <c r="D53" i="1"/>
  <c r="L53" i="1" s="1"/>
  <c r="I31" i="1"/>
  <c r="H26" i="1"/>
  <c r="F29" i="1"/>
  <c r="D49" i="1"/>
  <c r="K15" i="1"/>
  <c r="H38" i="1"/>
  <c r="L23" i="1"/>
  <c r="G45" i="1"/>
  <c r="K53" i="1"/>
  <c r="L24" i="1"/>
  <c r="K54" i="1"/>
  <c r="K7" i="5"/>
  <c r="I314" i="5"/>
  <c r="K278" i="5"/>
  <c r="K262" i="5"/>
  <c r="I246" i="5"/>
  <c r="J159" i="5"/>
  <c r="K151" i="5"/>
  <c r="K139" i="5"/>
  <c r="I107" i="5"/>
  <c r="L87" i="5"/>
  <c r="K75" i="5"/>
  <c r="I59" i="5"/>
  <c r="K47" i="5"/>
  <c r="K19" i="5"/>
  <c r="L149" i="5"/>
  <c r="L126" i="5"/>
  <c r="I92" i="5"/>
  <c r="I53" i="5"/>
  <c r="K218" i="5"/>
  <c r="L192" i="5"/>
  <c r="I336" i="5"/>
  <c r="L327" i="5"/>
  <c r="I313" i="5"/>
  <c r="K161" i="5"/>
  <c r="J136" i="5"/>
  <c r="K122" i="5"/>
  <c r="K74" i="5"/>
  <c r="L48" i="5"/>
  <c r="K187" i="5"/>
  <c r="I13" i="5"/>
  <c r="I339" i="5"/>
  <c r="J323" i="5"/>
  <c r="K309" i="5"/>
  <c r="K300" i="5"/>
  <c r="K275" i="5"/>
  <c r="K335" i="5"/>
  <c r="L299" i="5"/>
  <c r="K279" i="5"/>
  <c r="I333" i="5"/>
  <c r="I109" i="5"/>
  <c r="L273" i="5"/>
  <c r="I256" i="5"/>
  <c r="K206" i="5"/>
  <c r="J20" i="5"/>
  <c r="L12" i="5"/>
  <c r="K211" i="5"/>
  <c r="K340" i="5"/>
  <c r="L241" i="5"/>
  <c r="K93" i="5"/>
  <c r="I176" i="5"/>
  <c r="L148" i="5"/>
  <c r="J264" i="5"/>
  <c r="J247" i="5"/>
  <c r="J70" i="5"/>
  <c r="J226" i="5"/>
  <c r="J36" i="5"/>
  <c r="J32" i="5"/>
  <c r="J244" i="5"/>
  <c r="J234" i="5"/>
  <c r="J38" i="5"/>
  <c r="J185" i="5"/>
  <c r="K125" i="5"/>
  <c r="I272" i="5"/>
  <c r="L62" i="5"/>
  <c r="K205" i="5"/>
  <c r="L243" i="5"/>
  <c r="K231" i="5"/>
  <c r="L66" i="5"/>
  <c r="L33" i="5"/>
  <c r="K150" i="5"/>
  <c r="L238" i="5"/>
  <c r="K49" i="5"/>
  <c r="K233" i="5"/>
  <c r="L182" i="5"/>
  <c r="I196" i="5"/>
  <c r="G145" i="5"/>
  <c r="H112" i="5"/>
  <c r="H95" i="5"/>
  <c r="H325" i="5"/>
  <c r="H136" i="5"/>
  <c r="H335" i="5"/>
  <c r="H260" i="5"/>
  <c r="H218" i="5"/>
  <c r="G112" i="5"/>
  <c r="G296" i="5"/>
  <c r="H12" i="5"/>
  <c r="G194" i="5"/>
  <c r="G102" i="5"/>
  <c r="D134" i="5"/>
  <c r="D86" i="5"/>
  <c r="E119" i="5"/>
  <c r="E63" i="5"/>
  <c r="E15" i="5"/>
  <c r="E110" i="5"/>
  <c r="E227" i="5"/>
  <c r="E343" i="5"/>
  <c r="L343" i="5" s="1"/>
  <c r="F334" i="5"/>
  <c r="F284" i="5"/>
  <c r="J284" i="5" s="1"/>
  <c r="D65" i="5"/>
  <c r="L65" i="5" s="1"/>
  <c r="F28" i="5"/>
  <c r="D152" i="5"/>
  <c r="D111" i="5"/>
  <c r="G135" i="5"/>
  <c r="H264" i="5"/>
  <c r="G87" i="5"/>
  <c r="H332" i="5"/>
  <c r="G114" i="5"/>
  <c r="G136" i="5"/>
  <c r="H40" i="5"/>
  <c r="G204" i="5"/>
  <c r="H244" i="5"/>
  <c r="H51" i="5"/>
  <c r="G98" i="5"/>
  <c r="G187" i="5"/>
  <c r="H234" i="5"/>
  <c r="E302" i="5"/>
  <c r="L302" i="5" s="1"/>
  <c r="D338" i="5"/>
  <c r="F287" i="5"/>
  <c r="F223" i="5"/>
  <c r="F183" i="5"/>
  <c r="D276" i="5"/>
  <c r="I276" i="5" s="1"/>
  <c r="D44" i="5"/>
  <c r="K44" i="5" s="1"/>
  <c r="F170" i="5"/>
  <c r="J170" i="5" s="1"/>
  <c r="E152" i="5"/>
  <c r="D281" i="5"/>
  <c r="J281" i="5" s="1"/>
  <c r="F60" i="5"/>
  <c r="F190" i="5"/>
  <c r="E316" i="5"/>
  <c r="F102" i="5"/>
  <c r="F237" i="5"/>
  <c r="F333" i="5"/>
  <c r="D259" i="5"/>
  <c r="L259" i="5" s="1"/>
  <c r="F206" i="5"/>
  <c r="E305" i="5"/>
  <c r="F242" i="5"/>
  <c r="E22" i="5"/>
  <c r="E269" i="5"/>
  <c r="D325" i="5"/>
  <c r="I325" i="5" s="1"/>
  <c r="E29" i="5"/>
  <c r="F158" i="5"/>
  <c r="E253" i="5"/>
  <c r="E34" i="5"/>
  <c r="K34" i="5" s="1"/>
  <c r="F117" i="5"/>
  <c r="F56" i="5"/>
  <c r="D26" i="5"/>
  <c r="J26" i="5" s="1"/>
  <c r="D307" i="5"/>
  <c r="F88" i="5"/>
  <c r="D46" i="5"/>
  <c r="D128" i="5"/>
  <c r="E236" i="5"/>
  <c r="F165" i="5"/>
  <c r="D227" i="5"/>
  <c r="J227" i="5" s="1"/>
  <c r="D160" i="5"/>
  <c r="D153" i="5"/>
  <c r="D257" i="5"/>
  <c r="D29" i="5"/>
  <c r="F192" i="5"/>
  <c r="G4" i="1"/>
  <c r="F54" i="1"/>
  <c r="J54" i="1" s="1"/>
  <c r="F52" i="1"/>
  <c r="D38" i="1"/>
  <c r="E18" i="1"/>
  <c r="K8" i="1"/>
  <c r="H28" i="1"/>
  <c r="H45" i="1"/>
  <c r="G51" i="1"/>
  <c r="F33" i="1"/>
  <c r="E39" i="1"/>
  <c r="D19" i="1"/>
  <c r="D4" i="1"/>
  <c r="H17" i="1"/>
  <c r="D50" i="1"/>
  <c r="D33" i="1"/>
  <c r="E26" i="1"/>
  <c r="H40" i="1"/>
  <c r="I47" i="1"/>
  <c r="G12" i="1"/>
  <c r="J62" i="1"/>
  <c r="E32" i="1"/>
  <c r="L32" i="1" s="1"/>
  <c r="L17" i="1"/>
  <c r="L31" i="1"/>
  <c r="J41" i="1"/>
  <c r="J33" i="1"/>
  <c r="K47" i="1"/>
  <c r="L61" i="1"/>
  <c r="I32" i="1"/>
  <c r="K342" i="5"/>
  <c r="I326" i="5"/>
  <c r="I310" i="5"/>
  <c r="K290" i="5"/>
  <c r="I278" i="5"/>
  <c r="K258" i="5"/>
  <c r="K171" i="5"/>
  <c r="I159" i="5"/>
  <c r="K135" i="5"/>
  <c r="I103" i="5"/>
  <c r="L71" i="5"/>
  <c r="L59" i="5"/>
  <c r="L43" i="5"/>
  <c r="K27" i="5"/>
  <c r="L15" i="5"/>
  <c r="I158" i="5"/>
  <c r="I124" i="5"/>
  <c r="K108" i="5"/>
  <c r="I85" i="5"/>
  <c r="L227" i="5"/>
  <c r="L221" i="5"/>
  <c r="K21" i="5"/>
  <c r="I186" i="5"/>
  <c r="K336" i="5"/>
  <c r="L170" i="5"/>
  <c r="J154" i="5"/>
  <c r="I136" i="5"/>
  <c r="I120" i="5"/>
  <c r="I104" i="5"/>
  <c r="L88" i="5"/>
  <c r="I242" i="5"/>
  <c r="L216" i="5"/>
  <c r="I42" i="5"/>
  <c r="J341" i="5"/>
  <c r="I323" i="5"/>
  <c r="J307" i="5"/>
  <c r="I284" i="5"/>
  <c r="I275" i="5"/>
  <c r="I299" i="5"/>
  <c r="J265" i="5"/>
  <c r="L208" i="5"/>
  <c r="L109" i="5"/>
  <c r="K237" i="5"/>
  <c r="I20" i="5"/>
  <c r="K12" i="5"/>
  <c r="J207" i="5"/>
  <c r="I197" i="5"/>
  <c r="L29" i="5"/>
  <c r="J153" i="5"/>
  <c r="I100" i="5"/>
  <c r="L264" i="5"/>
  <c r="I247" i="5"/>
  <c r="L70" i="5"/>
  <c r="K226" i="5"/>
  <c r="I36" i="5"/>
  <c r="I32" i="5"/>
  <c r="I26" i="5"/>
  <c r="K281" i="5"/>
  <c r="K244" i="5"/>
  <c r="L234" i="5"/>
  <c r="I46" i="5"/>
  <c r="L38" i="5"/>
  <c r="L185" i="5"/>
  <c r="L331" i="5"/>
  <c r="J292" i="5"/>
  <c r="J58" i="5"/>
  <c r="J102" i="5"/>
  <c r="J236" i="5"/>
  <c r="J223" i="5"/>
  <c r="J271" i="5"/>
  <c r="J315" i="5"/>
  <c r="J157" i="5"/>
  <c r="J251" i="5"/>
  <c r="J41" i="5"/>
  <c r="G131" i="5"/>
  <c r="H250" i="5"/>
  <c r="G71" i="5"/>
  <c r="H289" i="5"/>
  <c r="G252" i="5"/>
  <c r="H108" i="5"/>
  <c r="H320" i="5"/>
  <c r="H10" i="5"/>
  <c r="G58" i="5"/>
  <c r="H213" i="5"/>
  <c r="G68" i="5"/>
  <c r="G186" i="5"/>
  <c r="G208" i="5"/>
  <c r="E298" i="5"/>
  <c r="F331" i="5"/>
  <c r="J331" i="5" s="1"/>
  <c r="D286" i="5"/>
  <c r="D222" i="5"/>
  <c r="E165" i="5"/>
  <c r="F274" i="5"/>
  <c r="D209" i="5"/>
  <c r="F168" i="5"/>
  <c r="D320" i="5"/>
  <c r="F270" i="5"/>
  <c r="F57" i="5"/>
  <c r="E181" i="5"/>
  <c r="K181" i="5" s="1"/>
  <c r="D145" i="5"/>
  <c r="K145" i="5" s="1"/>
  <c r="E268" i="5"/>
  <c r="L268" i="5" s="1"/>
  <c r="D173" i="5"/>
  <c r="E324" i="5"/>
  <c r="D245" i="5"/>
  <c r="E200" i="5"/>
  <c r="I200" i="5" s="1"/>
  <c r="D293" i="5"/>
  <c r="L293" i="5" s="1"/>
  <c r="D61" i="5"/>
  <c r="D16" i="5"/>
  <c r="F257" i="5"/>
  <c r="D303" i="5"/>
  <c r="D25" i="5"/>
  <c r="F301" i="5"/>
  <c r="J301" i="5" s="1"/>
  <c r="F80" i="5"/>
  <c r="E30" i="5"/>
  <c r="K30" i="5" s="1"/>
  <c r="F114" i="5"/>
  <c r="J114" i="5" s="1"/>
  <c r="E54" i="5"/>
  <c r="F189" i="5"/>
  <c r="E134" i="5"/>
  <c r="D80" i="5"/>
  <c r="F213" i="5"/>
  <c r="D289" i="5"/>
  <c r="G105" i="5"/>
  <c r="G37" i="5"/>
  <c r="H311" i="5"/>
  <c r="G196" i="5"/>
  <c r="G120" i="5"/>
  <c r="D106" i="5"/>
  <c r="E51" i="5"/>
  <c r="I51" i="5" s="1"/>
  <c r="D73" i="5"/>
  <c r="L73" i="5" s="1"/>
  <c r="F316" i="5"/>
  <c r="E178" i="5"/>
  <c r="E252" i="5"/>
  <c r="E118" i="5"/>
  <c r="F10" i="5"/>
  <c r="E214" i="5"/>
  <c r="E215" i="5"/>
  <c r="E288" i="5"/>
  <c r="D224" i="5"/>
  <c r="D83" i="5"/>
  <c r="E177" i="5"/>
  <c r="E69" i="5"/>
  <c r="F260" i="5"/>
  <c r="J260" i="5" s="1"/>
  <c r="E137" i="5"/>
  <c r="E164" i="5"/>
  <c r="J164" i="5" s="1"/>
  <c r="E308" i="5"/>
  <c r="I308" i="5" s="1"/>
  <c r="E248" i="5"/>
  <c r="F15" i="1"/>
  <c r="J15" i="1" s="1"/>
  <c r="D55" i="1"/>
  <c r="E63" i="1"/>
  <c r="D63" i="1"/>
  <c r="D44" i="1"/>
  <c r="K44" i="1" s="1"/>
  <c r="F31" i="1"/>
  <c r="J31" i="1" s="1"/>
  <c r="E35" i="1"/>
  <c r="K28" i="1"/>
  <c r="F53" i="1"/>
  <c r="G63" i="1"/>
  <c r="F44" i="1"/>
  <c r="I38" i="1"/>
  <c r="G26" i="1"/>
  <c r="G42" i="1"/>
  <c r="L59" i="1"/>
  <c r="K56" i="1"/>
  <c r="K41" i="1"/>
  <c r="K33" i="1"/>
  <c r="I61" i="1"/>
  <c r="K34" i="1"/>
  <c r="I342" i="5"/>
  <c r="K318" i="5"/>
  <c r="L290" i="5"/>
  <c r="L258" i="5"/>
  <c r="L167" i="5"/>
  <c r="J143" i="5"/>
  <c r="I111" i="5"/>
  <c r="K79" i="5"/>
  <c r="L55" i="5"/>
  <c r="I35" i="5"/>
  <c r="K11" i="5"/>
  <c r="L85" i="5"/>
  <c r="L224" i="5"/>
  <c r="L24" i="5"/>
  <c r="K186" i="5"/>
  <c r="I329" i="5"/>
  <c r="L168" i="5"/>
  <c r="L145" i="5"/>
  <c r="L120" i="5"/>
  <c r="K16" i="5"/>
  <c r="I178" i="5"/>
  <c r="L325" i="5"/>
  <c r="K307" i="5"/>
  <c r="L291" i="5"/>
  <c r="I268" i="5"/>
  <c r="J245" i="5"/>
  <c r="L321" i="5"/>
  <c r="L121" i="5"/>
  <c r="I265" i="5"/>
  <c r="L61" i="5"/>
  <c r="J198" i="5"/>
  <c r="L212" i="5"/>
  <c r="K20" i="5"/>
  <c r="K5" i="5"/>
  <c r="J297" i="5"/>
  <c r="L82" i="5"/>
  <c r="I130" i="5"/>
  <c r="J100" i="5"/>
  <c r="K89" i="5"/>
  <c r="L247" i="5"/>
  <c r="K65" i="5"/>
  <c r="L32" i="5"/>
  <c r="I281" i="5"/>
  <c r="K77" i="5"/>
  <c r="J60" i="5"/>
  <c r="L46" i="5"/>
  <c r="I185" i="5"/>
  <c r="I128" i="5"/>
  <c r="I289" i="5"/>
  <c r="K201" i="5"/>
  <c r="K236" i="5"/>
  <c r="I17" i="5"/>
  <c r="I260" i="5"/>
  <c r="J33" i="5"/>
  <c r="L150" i="5"/>
  <c r="K157" i="5"/>
  <c r="J238" i="5"/>
  <c r="L49" i="5"/>
  <c r="J182" i="5"/>
  <c r="L196" i="5"/>
  <c r="K41" i="5"/>
  <c r="H247" i="5"/>
  <c r="E36" i="1"/>
  <c r="E12" i="1"/>
  <c r="G7" i="1"/>
  <c r="J39" i="1"/>
  <c r="L338" i="5"/>
  <c r="K254" i="5"/>
  <c r="J123" i="5"/>
  <c r="K71" i="5"/>
  <c r="K172" i="5"/>
  <c r="L108" i="5"/>
  <c r="K24" i="5"/>
  <c r="K304" i="5"/>
  <c r="L113" i="5"/>
  <c r="I341" i="5"/>
  <c r="K284" i="5"/>
  <c r="K337" i="5"/>
  <c r="K256" i="5"/>
  <c r="L207" i="5"/>
  <c r="L215" i="5"/>
  <c r="I29" i="5"/>
  <c r="K255" i="5"/>
  <c r="J44" i="5"/>
  <c r="I331" i="5"/>
  <c r="L114" i="5"/>
  <c r="L102" i="5"/>
  <c r="L271" i="5"/>
  <c r="I33" i="5"/>
  <c r="K238" i="5"/>
  <c r="J233" i="5"/>
  <c r="I181" i="5"/>
  <c r="L335" i="5"/>
  <c r="J279" i="5"/>
  <c r="J273" i="5"/>
  <c r="K264" i="5"/>
  <c r="L26" i="5"/>
  <c r="I38" i="5"/>
  <c r="L272" i="5"/>
  <c r="L25" i="5"/>
  <c r="L248" i="5"/>
  <c r="G267" i="5"/>
  <c r="E84" i="5"/>
  <c r="H46" i="1"/>
  <c r="E49" i="1"/>
  <c r="I270" i="5"/>
  <c r="J99" i="5"/>
  <c r="K156" i="5"/>
  <c r="L189" i="5"/>
  <c r="K104" i="5"/>
  <c r="J333" i="5"/>
  <c r="J65" i="5"/>
  <c r="J77" i="5"/>
  <c r="J205" i="5"/>
  <c r="G218" i="5"/>
  <c r="E83" i="5"/>
  <c r="D95" i="5"/>
  <c r="D219" i="5"/>
  <c r="E283" i="5"/>
  <c r="H4" i="5"/>
  <c r="L63" i="1"/>
  <c r="D29" i="1"/>
  <c r="G62" i="1"/>
  <c r="I33" i="1"/>
  <c r="K322" i="5"/>
  <c r="I39" i="5"/>
  <c r="I224" i="5"/>
  <c r="L242" i="5"/>
  <c r="J291" i="5"/>
  <c r="K6" i="5"/>
  <c r="I65" i="5"/>
  <c r="I77" i="5"/>
  <c r="K185" i="5"/>
  <c r="L260" i="5"/>
  <c r="I301" i="5"/>
  <c r="I41" i="5"/>
  <c r="H338" i="5"/>
  <c r="H286" i="5"/>
  <c r="G313" i="5"/>
  <c r="G8" i="5"/>
  <c r="G326" i="5"/>
  <c r="F95" i="5"/>
  <c r="J95" i="5" s="1"/>
  <c r="F211" i="5"/>
  <c r="J211" i="5" s="1"/>
  <c r="F204" i="5"/>
  <c r="F302" i="5"/>
  <c r="D175" i="5"/>
  <c r="F240" i="5"/>
  <c r="F101" i="5"/>
  <c r="E144" i="5"/>
  <c r="F24" i="5"/>
  <c r="E160" i="5"/>
  <c r="D332" i="5"/>
  <c r="F46" i="5"/>
  <c r="J46" i="5" s="1"/>
  <c r="D232" i="5"/>
  <c r="D312" i="5"/>
  <c r="D50" i="5"/>
  <c r="D69" i="5"/>
  <c r="D280" i="5"/>
  <c r="F324" i="5"/>
  <c r="F90" i="5"/>
  <c r="D229" i="5"/>
  <c r="F9" i="1"/>
  <c r="F57" i="1"/>
  <c r="G44" i="1"/>
  <c r="D4" i="5"/>
  <c r="G29" i="1"/>
  <c r="G15" i="1"/>
  <c r="H34" i="1"/>
  <c r="L39" i="1"/>
  <c r="D30" i="1"/>
  <c r="H11" i="1"/>
  <c r="E42" i="1"/>
  <c r="I42" i="1" s="1"/>
  <c r="E29" i="1"/>
  <c r="I13" i="1"/>
  <c r="H58" i="1"/>
  <c r="G34" i="1"/>
  <c r="G60" i="1"/>
  <c r="H60" i="1"/>
  <c r="K62" i="1"/>
  <c r="K12" i="1"/>
  <c r="L342" i="5"/>
  <c r="K310" i="5"/>
  <c r="K286" i="5"/>
  <c r="I258" i="5"/>
  <c r="K167" i="5"/>
  <c r="I143" i="5"/>
  <c r="L111" i="5"/>
  <c r="J91" i="5"/>
  <c r="L79" i="5"/>
  <c r="I55" i="5"/>
  <c r="I172" i="5"/>
  <c r="I140" i="5"/>
  <c r="I110" i="5"/>
  <c r="I78" i="5"/>
  <c r="K53" i="5"/>
  <c r="I24" i="5"/>
  <c r="L186" i="5"/>
  <c r="J327" i="5"/>
  <c r="J304" i="5"/>
  <c r="L161" i="5"/>
  <c r="J138" i="5"/>
  <c r="K120" i="5"/>
  <c r="L219" i="5"/>
  <c r="L42" i="5"/>
  <c r="K184" i="5"/>
  <c r="L341" i="5"/>
  <c r="K325" i="5"/>
  <c r="L307" i="5"/>
  <c r="L284" i="5"/>
  <c r="K268" i="5"/>
  <c r="L245" i="5"/>
  <c r="K321" i="5"/>
  <c r="J132" i="5"/>
  <c r="K73" i="5"/>
  <c r="K208" i="5"/>
  <c r="L198" i="5"/>
  <c r="L144" i="5"/>
  <c r="K109" i="5"/>
  <c r="J256" i="5"/>
  <c r="J220" i="5"/>
  <c r="J206" i="5"/>
  <c r="J14" i="5"/>
  <c r="I211" i="5"/>
  <c r="L5" i="5"/>
  <c r="L225" i="5"/>
  <c r="K297" i="5"/>
  <c r="L229" i="5"/>
  <c r="L130" i="5"/>
  <c r="L100" i="5"/>
  <c r="L89" i="5"/>
  <c r="K32" i="5"/>
  <c r="J255" i="5"/>
  <c r="I244" i="5"/>
  <c r="I60" i="5"/>
  <c r="K46" i="5"/>
  <c r="K331" i="5"/>
  <c r="K128" i="5"/>
  <c r="I114" i="5"/>
  <c r="J62" i="5"/>
  <c r="L201" i="5"/>
  <c r="I283" i="5"/>
  <c r="I236" i="5"/>
  <c r="K271" i="5"/>
  <c r="K260" i="5"/>
  <c r="K33" i="5"/>
  <c r="K315" i="5"/>
  <c r="L157" i="5"/>
  <c r="I238" i="5"/>
  <c r="K84" i="5"/>
  <c r="K182" i="5"/>
  <c r="L41" i="5"/>
  <c r="H164" i="5"/>
  <c r="G130" i="5"/>
  <c r="H64" i="5"/>
  <c r="H80" i="5"/>
  <c r="D330" i="5"/>
  <c r="D202" i="5"/>
  <c r="F201" i="5"/>
  <c r="J201" i="5" s="1"/>
  <c r="D263" i="5"/>
  <c r="F173" i="5"/>
  <c r="F162" i="5"/>
  <c r="D240" i="5"/>
  <c r="E287" i="5"/>
  <c r="D10" i="5"/>
  <c r="F113" i="5"/>
  <c r="F126" i="5"/>
  <c r="D28" i="5"/>
  <c r="E52" i="5"/>
  <c r="K52" i="5" s="1"/>
  <c r="D131" i="5"/>
  <c r="D195" i="5"/>
  <c r="F221" i="5"/>
  <c r="E96" i="5"/>
  <c r="D137" i="5"/>
  <c r="E188" i="5"/>
  <c r="J188" i="5" s="1"/>
  <c r="E180" i="5"/>
  <c r="I180" i="5" s="1"/>
  <c r="H10" i="1"/>
  <c r="G28" i="1"/>
  <c r="H25" i="1"/>
  <c r="E14" i="1"/>
  <c r="F25" i="1"/>
  <c r="J25" i="1" s="1"/>
  <c r="E16" i="1"/>
  <c r="D60" i="1"/>
  <c r="G23" i="1"/>
  <c r="D35" i="1"/>
  <c r="I53" i="1"/>
  <c r="I62" i="1"/>
  <c r="F59" i="1"/>
  <c r="F49" i="1"/>
  <c r="L25" i="1"/>
  <c r="H30" i="1"/>
  <c r="L22" i="1"/>
  <c r="K32" i="1"/>
  <c r="L310" i="5"/>
  <c r="I282" i="5"/>
  <c r="L159" i="5"/>
  <c r="L143" i="5"/>
  <c r="K111" i="5"/>
  <c r="L91" i="5"/>
  <c r="L51" i="5"/>
  <c r="I27" i="5"/>
  <c r="L140" i="5"/>
  <c r="L78" i="5"/>
  <c r="I221" i="5"/>
  <c r="J343" i="5"/>
  <c r="I327" i="5"/>
  <c r="I154" i="5"/>
  <c r="I138" i="5"/>
  <c r="I88" i="5"/>
  <c r="K42" i="5"/>
  <c r="L184" i="5"/>
  <c r="K323" i="5"/>
  <c r="I307" i="5"/>
  <c r="I132" i="5"/>
  <c r="I73" i="5"/>
  <c r="J204" i="5"/>
  <c r="J305" i="5"/>
  <c r="J276" i="5"/>
  <c r="I220" i="5"/>
  <c r="L14" i="5"/>
  <c r="L340" i="5"/>
  <c r="J249" i="5"/>
  <c r="I297" i="5"/>
  <c r="K130" i="5"/>
  <c r="K100" i="5"/>
  <c r="J30" i="5"/>
  <c r="L175" i="5"/>
  <c r="L244" i="5"/>
  <c r="L60" i="5"/>
  <c r="J125" i="5"/>
  <c r="K62" i="5"/>
  <c r="I201" i="5"/>
  <c r="J231" i="5"/>
  <c r="J66" i="5"/>
  <c r="L315" i="5"/>
  <c r="J308" i="5"/>
  <c r="I182" i="5"/>
  <c r="K180" i="5"/>
  <c r="L94" i="5"/>
  <c r="I216" i="5"/>
  <c r="L316" i="5"/>
  <c r="I259" i="5"/>
  <c r="I202" i="5"/>
  <c r="L214" i="5"/>
  <c r="J6" i="5"/>
  <c r="I241" i="5"/>
  <c r="I153" i="5"/>
  <c r="K70" i="5"/>
  <c r="J34" i="5"/>
  <c r="K80" i="5"/>
  <c r="J52" i="5"/>
  <c r="I177" i="5"/>
  <c r="K292" i="5"/>
  <c r="K58" i="5"/>
  <c r="J243" i="5"/>
  <c r="K301" i="5"/>
  <c r="G224" i="5"/>
  <c r="F317" i="5"/>
  <c r="H47" i="1"/>
  <c r="H54" i="1"/>
  <c r="J7" i="1"/>
  <c r="F11" i="1"/>
  <c r="H35" i="1"/>
  <c r="K42" i="1"/>
  <c r="I322" i="5"/>
  <c r="J167" i="5"/>
  <c r="L135" i="5"/>
  <c r="I15" i="5"/>
  <c r="I94" i="5"/>
  <c r="J329" i="5"/>
  <c r="J145" i="5"/>
  <c r="L74" i="5"/>
  <c r="I187" i="5"/>
  <c r="K316" i="5"/>
  <c r="L275" i="5"/>
  <c r="K235" i="5"/>
  <c r="K212" i="5"/>
  <c r="L197" i="5"/>
  <c r="L160" i="5"/>
  <c r="L153" i="5"/>
  <c r="L226" i="5"/>
  <c r="K295" i="5"/>
  <c r="I52" i="5"/>
  <c r="L191" i="5"/>
  <c r="I292" i="5"/>
  <c r="I243" i="5"/>
  <c r="L17" i="5"/>
  <c r="J150" i="5"/>
  <c r="L301" i="5"/>
  <c r="J196" i="5"/>
  <c r="H94" i="5"/>
  <c r="H328" i="5"/>
  <c r="D253" i="5"/>
  <c r="L253" i="5" s="1"/>
  <c r="E210" i="5"/>
  <c r="F12" i="5"/>
  <c r="J12" i="5" s="1"/>
  <c r="E232" i="5"/>
  <c r="D179" i="5"/>
  <c r="D31" i="5"/>
  <c r="H42" i="1"/>
  <c r="F43" i="1"/>
  <c r="G27" i="1"/>
  <c r="H21" i="1"/>
  <c r="H4" i="1"/>
  <c r="E9" i="1"/>
  <c r="E8" i="3"/>
  <c r="L34" i="1"/>
  <c r="I290" i="5"/>
  <c r="I79" i="5"/>
  <c r="K15" i="5"/>
  <c r="K85" i="5"/>
  <c r="I189" i="5"/>
  <c r="K168" i="5"/>
  <c r="L122" i="5"/>
  <c r="I16" i="5"/>
  <c r="J325" i="5"/>
  <c r="I252" i="5"/>
  <c r="I235" i="5"/>
  <c r="I212" i="5"/>
  <c r="K269" i="5"/>
  <c r="I82" i="5"/>
  <c r="J89" i="5"/>
  <c r="I226" i="5"/>
  <c r="L281" i="5"/>
  <c r="L52" i="5"/>
  <c r="K69" i="5"/>
  <c r="L137" i="5"/>
  <c r="I150" i="5"/>
  <c r="I49" i="5"/>
  <c r="L251" i="5"/>
  <c r="H248" i="5"/>
  <c r="H223" i="5"/>
  <c r="H110" i="5"/>
  <c r="G176" i="5"/>
  <c r="G212" i="5"/>
  <c r="F319" i="5"/>
  <c r="D324" i="5"/>
  <c r="F27" i="5"/>
  <c r="F261" i="5"/>
  <c r="F134" i="5"/>
  <c r="J134" i="5" s="1"/>
  <c r="F160" i="5"/>
  <c r="E68" i="5"/>
  <c r="D115" i="5"/>
  <c r="D54" i="5"/>
  <c r="E257" i="5"/>
  <c r="D287" i="5"/>
  <c r="I287" i="5" s="1"/>
  <c r="D22" i="5"/>
  <c r="L22" i="5" s="1"/>
  <c r="F50" i="5"/>
  <c r="D117" i="5"/>
  <c r="F17" i="5"/>
  <c r="J17" i="5" s="1"/>
  <c r="D213" i="5"/>
  <c r="F248" i="5"/>
  <c r="J248" i="5" s="1"/>
  <c r="F124" i="5"/>
  <c r="F186" i="5"/>
  <c r="E57" i="5"/>
  <c r="E40" i="1"/>
  <c r="H31" i="1"/>
  <c r="H27" i="1"/>
  <c r="E4" i="5"/>
  <c r="F51" i="1"/>
  <c r="H9" i="1"/>
  <c r="H22" i="1"/>
  <c r="F45" i="1"/>
  <c r="F32" i="1"/>
  <c r="J32" i="1" s="1"/>
  <c r="G49" i="1"/>
  <c r="H48" i="1"/>
  <c r="D16" i="1"/>
  <c r="H52" i="1"/>
  <c r="G35" i="1"/>
  <c r="K11" i="1"/>
  <c r="K19" i="1"/>
  <c r="L45" i="1"/>
  <c r="I26" i="1"/>
  <c r="I22" i="1"/>
  <c r="I8" i="3"/>
  <c r="I334" i="5"/>
  <c r="L306" i="5"/>
  <c r="L278" i="5"/>
  <c r="K250" i="5"/>
  <c r="K159" i="5"/>
  <c r="K143" i="5"/>
  <c r="I123" i="5"/>
  <c r="J103" i="5"/>
  <c r="J87" i="5"/>
  <c r="I71" i="5"/>
  <c r="K51" i="5"/>
  <c r="L27" i="5"/>
  <c r="K165" i="5"/>
  <c r="K140" i="5"/>
  <c r="I76" i="5"/>
  <c r="I50" i="5"/>
  <c r="I21" i="5"/>
  <c r="K343" i="5"/>
  <c r="I320" i="5"/>
  <c r="I304" i="5"/>
  <c r="K154" i="5"/>
  <c r="L136" i="5"/>
  <c r="K113" i="5"/>
  <c r="K81" i="5"/>
  <c r="I219" i="5"/>
  <c r="K210" i="5"/>
  <c r="K13" i="5"/>
  <c r="J339" i="5"/>
  <c r="J316" i="5"/>
  <c r="J300" i="5"/>
  <c r="J277" i="5"/>
  <c r="L337" i="5"/>
  <c r="I312" i="5"/>
  <c r="L132" i="5"/>
  <c r="K285" i="5"/>
  <c r="I68" i="5"/>
  <c r="I204" i="5"/>
  <c r="I8" i="5"/>
  <c r="L305" i="5"/>
  <c r="K276" i="5"/>
  <c r="J237" i="5"/>
  <c r="K220" i="5"/>
  <c r="L28" i="5"/>
  <c r="K14" i="5"/>
  <c r="I207" i="5"/>
  <c r="K280" i="5"/>
  <c r="K249" i="5"/>
  <c r="I215" i="5"/>
  <c r="J93" i="5"/>
  <c r="K29" i="5"/>
  <c r="L288" i="5"/>
  <c r="J267" i="5"/>
  <c r="J230" i="5"/>
  <c r="L36" i="5"/>
  <c r="L30" i="5"/>
  <c r="I175" i="5"/>
  <c r="I255" i="5"/>
  <c r="J239" i="5"/>
  <c r="I54" i="5"/>
  <c r="I44" i="5"/>
  <c r="L317" i="5"/>
  <c r="L125" i="5"/>
  <c r="K114" i="5"/>
  <c r="L58" i="5"/>
  <c r="J303" i="5"/>
  <c r="I102" i="5"/>
  <c r="I231" i="5"/>
  <c r="I271" i="5"/>
  <c r="I66" i="5"/>
  <c r="I164" i="5"/>
  <c r="I315" i="5"/>
  <c r="K308" i="5"/>
  <c r="I188" i="5"/>
  <c r="L233" i="5"/>
  <c r="K248" i="5"/>
  <c r="L180" i="5"/>
  <c r="G343" i="5"/>
  <c r="G237" i="5"/>
  <c r="G234" i="5"/>
  <c r="G316" i="5"/>
  <c r="H176" i="5"/>
  <c r="E147" i="5"/>
  <c r="F322" i="5"/>
  <c r="F152" i="5"/>
  <c r="E90" i="5"/>
  <c r="D129" i="5"/>
  <c r="K129" i="5" s="1"/>
  <c r="E328" i="5"/>
  <c r="D63" i="5"/>
  <c r="E98" i="5"/>
  <c r="D193" i="5"/>
  <c r="F76" i="5"/>
  <c r="D112" i="5"/>
  <c r="D18" i="5"/>
  <c r="D40" i="5"/>
  <c r="F280" i="5"/>
  <c r="F13" i="5"/>
  <c r="E209" i="5"/>
  <c r="F49" i="5"/>
  <c r="J49" i="5" s="1"/>
  <c r="F285" i="5"/>
  <c r="E240" i="5"/>
  <c r="F73" i="5"/>
  <c r="H53" i="1"/>
  <c r="H12" i="1"/>
  <c r="F46" i="1"/>
  <c r="F61" i="1"/>
  <c r="J61" i="1" s="1"/>
  <c r="D52" i="1"/>
  <c r="H8" i="1"/>
  <c r="K63" i="1"/>
  <c r="I4" i="5"/>
  <c r="D43" i="1"/>
  <c r="F34" i="1"/>
  <c r="J34" i="1" s="1"/>
  <c r="E48" i="1"/>
  <c r="K16" i="1"/>
  <c r="K52" i="1"/>
  <c r="J38" i="1"/>
  <c r="E58" i="1"/>
  <c r="L47" i="1"/>
  <c r="D46" i="1"/>
  <c r="K13" i="1"/>
  <c r="I21" i="1"/>
  <c r="J45" i="1"/>
  <c r="J11" i="1"/>
  <c r="K14" i="1"/>
  <c r="J5" i="1"/>
  <c r="K302" i="5"/>
  <c r="L274" i="5"/>
  <c r="L250" i="5"/>
  <c r="K155" i="5"/>
  <c r="J135" i="5"/>
  <c r="J119" i="5"/>
  <c r="K103" i="5"/>
  <c r="K87" i="5"/>
  <c r="I67" i="5"/>
  <c r="L47" i="5"/>
  <c r="K23" i="5"/>
  <c r="L158" i="5"/>
  <c r="I133" i="5"/>
  <c r="K227" i="5"/>
  <c r="L50" i="5"/>
  <c r="L21" i="5"/>
  <c r="I343" i="5"/>
  <c r="L320" i="5"/>
  <c r="I170" i="5"/>
  <c r="L154" i="5"/>
  <c r="K136" i="5"/>
  <c r="I106" i="5"/>
  <c r="L81" i="5"/>
  <c r="K216" i="5"/>
  <c r="L210" i="5"/>
  <c r="L181" i="5"/>
  <c r="K339" i="5"/>
  <c r="I316" i="5"/>
  <c r="J293" i="5"/>
  <c r="K277" i="5"/>
  <c r="K259" i="5"/>
  <c r="I337" i="5"/>
  <c r="K312" i="5"/>
  <c r="K299" i="5"/>
  <c r="I285" i="5"/>
  <c r="J235" i="5"/>
  <c r="L204" i="5"/>
  <c r="L8" i="5"/>
  <c r="K287" i="5"/>
  <c r="L276" i="5"/>
  <c r="I237" i="5"/>
  <c r="L220" i="5"/>
  <c r="K28" i="5"/>
  <c r="I12" i="5"/>
  <c r="I105" i="5"/>
  <c r="I249" i="5"/>
  <c r="J160" i="5"/>
  <c r="I93" i="5"/>
  <c r="J176" i="5"/>
  <c r="K153" i="5"/>
  <c r="K267" i="5"/>
  <c r="J253" i="5"/>
  <c r="I70" i="5"/>
  <c r="I230" i="5"/>
  <c r="K36" i="5"/>
  <c r="I30" i="5"/>
  <c r="J295" i="5"/>
  <c r="I80" i="5"/>
  <c r="L239" i="5"/>
  <c r="K54" i="5"/>
  <c r="L44" i="5"/>
  <c r="J191" i="5"/>
  <c r="K177" i="5"/>
  <c r="K317" i="5"/>
  <c r="L292" i="5"/>
  <c r="J272" i="5"/>
  <c r="I58" i="5"/>
  <c r="I303" i="5"/>
  <c r="K102" i="5"/>
  <c r="K223" i="5"/>
  <c r="J25" i="5"/>
  <c r="J96" i="5"/>
  <c r="K66" i="5"/>
  <c r="K164" i="5"/>
  <c r="L308" i="5"/>
  <c r="L188" i="5"/>
  <c r="I233" i="5"/>
  <c r="I248" i="5"/>
  <c r="J57" i="5"/>
  <c r="G308" i="5"/>
  <c r="H230" i="5"/>
  <c r="G110" i="5"/>
  <c r="H113" i="5"/>
  <c r="D166" i="5"/>
  <c r="D266" i="5"/>
  <c r="E142" i="5"/>
  <c r="D147" i="5"/>
  <c r="F225" i="5"/>
  <c r="J225" i="5" s="1"/>
  <c r="D127" i="5"/>
  <c r="D141" i="5"/>
  <c r="F212" i="5"/>
  <c r="J212" i="5" s="1"/>
  <c r="F250" i="5"/>
  <c r="F11" i="5"/>
  <c r="F39" i="5"/>
  <c r="E86" i="5"/>
  <c r="F289" i="5"/>
  <c r="E199" i="5"/>
  <c r="F266" i="5"/>
  <c r="F142" i="5"/>
  <c r="D203" i="5"/>
  <c r="D217" i="5"/>
  <c r="E162" i="5"/>
  <c r="E190" i="5"/>
  <c r="D37" i="5"/>
  <c r="D40" i="1"/>
  <c r="G8" i="1"/>
  <c r="F18" i="1"/>
  <c r="G43" i="1"/>
  <c r="F13" i="1"/>
  <c r="J13" i="1" s="1"/>
  <c r="E10" i="1"/>
  <c r="H62" i="1"/>
  <c r="E4" i="1"/>
  <c r="D6" i="1"/>
  <c r="G17" i="1"/>
  <c r="G57" i="1"/>
  <c r="G9" i="1"/>
  <c r="E57" i="1"/>
  <c r="I20" i="1"/>
  <c r="D27" i="1"/>
  <c r="K49" i="1"/>
  <c r="G37" i="1"/>
  <c r="J56" i="1"/>
  <c r="L13" i="1"/>
  <c r="L42" i="1"/>
  <c r="K45" i="1"/>
  <c r="I11" i="1"/>
  <c r="I58" i="1"/>
  <c r="K5" i="1"/>
  <c r="L322" i="5"/>
  <c r="I302" i="5"/>
  <c r="K270" i="5"/>
  <c r="L246" i="5"/>
  <c r="J151" i="5"/>
  <c r="I135" i="5"/>
  <c r="I119" i="5"/>
  <c r="L103" i="5"/>
  <c r="J83" i="5"/>
  <c r="L67" i="5"/>
  <c r="K39" i="5"/>
  <c r="I23" i="5"/>
  <c r="I156" i="5"/>
  <c r="K126" i="5"/>
  <c r="I227" i="5"/>
  <c r="K189" i="5"/>
  <c r="L336" i="5"/>
  <c r="J313" i="5"/>
  <c r="J168" i="5"/>
  <c r="J152" i="5"/>
  <c r="L129" i="5"/>
  <c r="L104" i="5"/>
  <c r="I81" i="5"/>
  <c r="I210" i="5"/>
  <c r="J332" i="5"/>
  <c r="K293" i="5"/>
  <c r="I277" i="5"/>
  <c r="L312" i="5"/>
  <c r="L235" i="5"/>
  <c r="K8" i="5"/>
  <c r="J228" i="5"/>
  <c r="J22" i="5"/>
  <c r="K105" i="5"/>
  <c r="L176" i="5"/>
  <c r="K253" i="5"/>
  <c r="L230" i="5"/>
  <c r="L295" i="5"/>
  <c r="K239" i="5"/>
  <c r="K191" i="5"/>
  <c r="I317" i="5"/>
  <c r="L223" i="5"/>
  <c r="L96" i="5"/>
  <c r="L164" i="5"/>
  <c r="K188" i="5"/>
  <c r="K251" i="5"/>
  <c r="G47" i="5"/>
  <c r="G192" i="5"/>
  <c r="E330" i="5"/>
  <c r="F259" i="5"/>
  <c r="J259" i="5" s="1"/>
  <c r="E101" i="5"/>
  <c r="E311" i="5"/>
  <c r="E213" i="5"/>
  <c r="D97" i="5"/>
  <c r="D319" i="5"/>
  <c r="E194" i="5"/>
  <c r="E222" i="5"/>
  <c r="E64" i="5"/>
  <c r="I64" i="5" s="1"/>
  <c r="F180" i="5"/>
  <c r="J180" i="5" s="1"/>
  <c r="E72" i="5"/>
  <c r="F97" i="5"/>
  <c r="E183" i="5"/>
  <c r="F74" i="5"/>
  <c r="E116" i="5"/>
  <c r="E9" i="5"/>
  <c r="E37" i="5"/>
  <c r="E174" i="5"/>
  <c r="G40" i="1"/>
  <c r="F20" i="1"/>
  <c r="F42" i="1"/>
  <c r="J42" i="1" s="1"/>
  <c r="D18" i="1"/>
  <c r="E50" i="1"/>
  <c r="G32" i="1"/>
  <c r="K7" i="1"/>
  <c r="D36" i="1"/>
  <c r="K36" i="1" s="1"/>
  <c r="I44" i="1"/>
  <c r="I8" i="1"/>
  <c r="L33" i="1"/>
  <c r="L5" i="1"/>
  <c r="K294" i="5"/>
  <c r="I151" i="5"/>
  <c r="J115" i="5"/>
  <c r="J79" i="5"/>
  <c r="L39" i="5"/>
  <c r="L124" i="5"/>
  <c r="I56" i="5"/>
  <c r="L195" i="5"/>
  <c r="K313" i="5"/>
  <c r="I168" i="5"/>
  <c r="I129" i="5"/>
  <c r="I10" i="5"/>
  <c r="I293" i="5"/>
  <c r="J252" i="5"/>
  <c r="J173" i="5"/>
  <c r="I279" i="5"/>
  <c r="K200" i="5"/>
  <c r="I273" i="5"/>
  <c r="I228" i="5"/>
  <c r="L6" i="5"/>
  <c r="L105" i="5"/>
  <c r="L64" i="5"/>
  <c r="I264" i="5"/>
  <c r="I253" i="5"/>
  <c r="I34" i="5"/>
  <c r="K26" i="5"/>
  <c r="I234" i="5"/>
  <c r="K38" i="5"/>
  <c r="I134" i="5"/>
  <c r="I69" i="5"/>
  <c r="L116" i="5"/>
  <c r="I223" i="5"/>
  <c r="J137" i="5"/>
  <c r="I37" i="5"/>
  <c r="L162" i="5"/>
  <c r="K190" i="5"/>
  <c r="I251" i="5"/>
  <c r="L57" i="5"/>
  <c r="G39" i="5"/>
  <c r="D118" i="5"/>
  <c r="F318" i="5"/>
  <c r="E296" i="5"/>
  <c r="F218" i="5"/>
  <c r="E169" i="5"/>
  <c r="D261" i="5"/>
  <c r="F241" i="5"/>
  <c r="E146" i="5"/>
  <c r="F312" i="5"/>
  <c r="D45" i="5"/>
  <c r="E51" i="1"/>
  <c r="F35" i="1"/>
  <c r="J35" i="1" s="1"/>
  <c r="H33" i="1"/>
  <c r="D48" i="1"/>
  <c r="D37" i="1"/>
  <c r="J24" i="1"/>
  <c r="K21" i="1"/>
  <c r="L8" i="1"/>
  <c r="L35" i="1"/>
  <c r="K9" i="1"/>
  <c r="I7" i="5"/>
  <c r="L266" i="5"/>
  <c r="I167" i="5"/>
  <c r="J111" i="5"/>
  <c r="K99" i="5"/>
  <c r="K59" i="5"/>
  <c r="L156" i="5"/>
  <c r="K117" i="5"/>
  <c r="I195" i="5"/>
  <c r="L329" i="5"/>
  <c r="I145" i="5"/>
  <c r="L97" i="5"/>
  <c r="L45" i="5"/>
  <c r="K10" i="5"/>
  <c r="I309" i="5"/>
  <c r="J268" i="5"/>
  <c r="L328" i="5"/>
  <c r="L265" i="5"/>
  <c r="L200" i="5"/>
  <c r="J144" i="5"/>
  <c r="K228" i="5"/>
  <c r="L20" i="5"/>
  <c r="I5" i="5"/>
  <c r="K64" i="5"/>
  <c r="L169" i="5"/>
  <c r="J148" i="5"/>
  <c r="K247" i="5"/>
  <c r="L34" i="5"/>
  <c r="J179" i="5"/>
  <c r="K234" i="5"/>
  <c r="J199" i="5"/>
  <c r="L128" i="5"/>
  <c r="J289" i="5"/>
  <c r="I205" i="5"/>
  <c r="L236" i="5"/>
  <c r="K17" i="5"/>
  <c r="L37" i="5"/>
  <c r="I157" i="5"/>
  <c r="I84" i="5"/>
  <c r="K196" i="5"/>
  <c r="I34" i="1"/>
  <c r="I36" i="1"/>
  <c r="J50" i="1"/>
  <c r="J16" i="1"/>
  <c r="L11" i="1"/>
  <c r="K48" i="1"/>
  <c r="J8" i="1"/>
  <c r="L7" i="1"/>
  <c r="I24" i="1"/>
  <c r="K55" i="1"/>
  <c r="L6" i="1"/>
  <c r="J53" i="1"/>
  <c r="L18" i="1"/>
  <c r="I51" i="1"/>
  <c r="L19" i="1"/>
  <c r="J4" i="1"/>
  <c r="L15" i="1"/>
  <c r="K38" i="1"/>
  <c r="J20" i="1"/>
  <c r="I274" i="5"/>
  <c r="K274" i="5"/>
  <c r="K163" i="5"/>
  <c r="J163" i="5"/>
  <c r="L56" i="5"/>
  <c r="J30" i="1"/>
  <c r="K30" i="1"/>
  <c r="I60" i="1"/>
  <c r="J60" i="1"/>
  <c r="K306" i="5"/>
  <c r="I306" i="5"/>
  <c r="L314" i="5"/>
  <c r="K314" i="5"/>
  <c r="J75" i="5"/>
  <c r="L75" i="5"/>
  <c r="I75" i="5"/>
  <c r="J107" i="5"/>
  <c r="L107" i="5"/>
  <c r="K107" i="5"/>
  <c r="L35" i="5"/>
  <c r="K35" i="5"/>
  <c r="H8" i="3"/>
  <c r="J8" i="3"/>
  <c r="L119" i="5"/>
  <c r="K119" i="5"/>
  <c r="I63" i="5"/>
  <c r="L63" i="5"/>
  <c r="K110" i="5"/>
  <c r="L110" i="5"/>
  <c r="K338" i="5"/>
  <c r="I338" i="5"/>
  <c r="L152" i="5"/>
  <c r="I152" i="5"/>
  <c r="K152" i="5"/>
  <c r="I305" i="5"/>
  <c r="K305" i="5"/>
  <c r="K22" i="5"/>
  <c r="I22" i="5"/>
  <c r="L269" i="5"/>
  <c r="I269" i="5"/>
  <c r="I39" i="1"/>
  <c r="K39" i="1"/>
  <c r="I19" i="1"/>
  <c r="J19" i="1"/>
  <c r="K26" i="1"/>
  <c r="L26" i="1"/>
  <c r="L298" i="5"/>
  <c r="I298" i="5"/>
  <c r="K298" i="5"/>
  <c r="I286" i="5"/>
  <c r="L286" i="5"/>
  <c r="I165" i="5"/>
  <c r="L165" i="5"/>
  <c r="J320" i="5"/>
  <c r="K320" i="5"/>
  <c r="L173" i="5"/>
  <c r="I173" i="5"/>
  <c r="K173" i="5"/>
  <c r="K245" i="5"/>
  <c r="I245" i="5"/>
  <c r="K61" i="5"/>
  <c r="I61" i="5"/>
  <c r="L16" i="5"/>
  <c r="L303" i="5"/>
  <c r="K303" i="5"/>
  <c r="K25" i="5"/>
  <c r="I25" i="5"/>
  <c r="L54" i="5"/>
  <c r="J54" i="5"/>
  <c r="K134" i="5"/>
  <c r="L134" i="5"/>
  <c r="J80" i="5"/>
  <c r="L80" i="5"/>
  <c r="L289" i="5"/>
  <c r="K289" i="5"/>
  <c r="K106" i="5"/>
  <c r="L106" i="5"/>
  <c r="L178" i="5"/>
  <c r="K178" i="5"/>
  <c r="L252" i="5"/>
  <c r="K252" i="5"/>
  <c r="I118" i="5"/>
  <c r="J118" i="5"/>
  <c r="K214" i="5"/>
  <c r="J214" i="5"/>
  <c r="I214" i="5"/>
  <c r="K215" i="5"/>
  <c r="J215" i="5"/>
  <c r="I288" i="5"/>
  <c r="J288" i="5"/>
  <c r="K288" i="5"/>
  <c r="K224" i="5"/>
  <c r="L177" i="5"/>
  <c r="J177" i="5"/>
  <c r="J55" i="1"/>
  <c r="I55" i="1"/>
  <c r="J63" i="1"/>
  <c r="I63" i="1"/>
  <c r="I35" i="1"/>
  <c r="K35" i="1"/>
  <c r="L36" i="1"/>
  <c r="J36" i="1"/>
  <c r="I12" i="1"/>
  <c r="J12" i="1"/>
  <c r="L12" i="1"/>
  <c r="L84" i="5"/>
  <c r="J84" i="5"/>
  <c r="L49" i="1"/>
  <c r="I49" i="1"/>
  <c r="I83" i="5"/>
  <c r="L83" i="5"/>
  <c r="K83" i="5"/>
  <c r="L95" i="5"/>
  <c r="K95" i="5"/>
  <c r="I95" i="5"/>
  <c r="K219" i="5"/>
  <c r="J219" i="5"/>
  <c r="J283" i="5"/>
  <c r="L283" i="5"/>
  <c r="K283" i="5"/>
  <c r="K175" i="5"/>
  <c r="J175" i="5"/>
  <c r="K144" i="5"/>
  <c r="I144" i="5"/>
  <c r="K160" i="5"/>
  <c r="I160" i="5"/>
  <c r="K332" i="5"/>
  <c r="L332" i="5"/>
  <c r="I332" i="5"/>
  <c r="K50" i="5"/>
  <c r="L69" i="5"/>
  <c r="J69" i="5"/>
  <c r="I280" i="5"/>
  <c r="L280" i="5"/>
  <c r="K229" i="5"/>
  <c r="I229" i="5"/>
  <c r="L30" i="1"/>
  <c r="I30" i="1"/>
  <c r="I29" i="1"/>
  <c r="K29" i="1"/>
  <c r="L29" i="1"/>
  <c r="K202" i="5"/>
  <c r="L202" i="5"/>
  <c r="I263" i="5"/>
  <c r="L263" i="5"/>
  <c r="K263" i="5"/>
  <c r="J263" i="5"/>
  <c r="L287" i="5"/>
  <c r="J287" i="5"/>
  <c r="L10" i="5"/>
  <c r="J28" i="5"/>
  <c r="I28" i="5"/>
  <c r="J131" i="5"/>
  <c r="L131" i="5"/>
  <c r="I131" i="5"/>
  <c r="K131" i="5"/>
  <c r="K195" i="5"/>
  <c r="J195" i="5"/>
  <c r="K96" i="5"/>
  <c r="I96" i="5"/>
  <c r="K137" i="5"/>
  <c r="I137" i="5"/>
  <c r="L14" i="1"/>
  <c r="J14" i="1"/>
  <c r="I14" i="1"/>
  <c r="L16" i="1"/>
  <c r="I16" i="1"/>
  <c r="K60" i="1"/>
  <c r="L60" i="1"/>
  <c r="K232" i="5"/>
  <c r="L232" i="5"/>
  <c r="I232" i="5"/>
  <c r="J232" i="5"/>
  <c r="K179" i="5"/>
  <c r="L179" i="5"/>
  <c r="I179" i="5"/>
  <c r="K31" i="5"/>
  <c r="L31" i="5"/>
  <c r="I31" i="5"/>
  <c r="J9" i="1"/>
  <c r="L9" i="1"/>
  <c r="I9" i="1"/>
  <c r="I324" i="5"/>
  <c r="K324" i="5"/>
  <c r="L324" i="5"/>
  <c r="L68" i="5"/>
  <c r="J68" i="5"/>
  <c r="K68" i="5"/>
  <c r="L115" i="5"/>
  <c r="I115" i="5"/>
  <c r="K115" i="5"/>
  <c r="I257" i="5"/>
  <c r="L257" i="5"/>
  <c r="J257" i="5"/>
  <c r="K257" i="5"/>
  <c r="L117" i="5"/>
  <c r="I117" i="5"/>
  <c r="I57" i="5"/>
  <c r="K57" i="5"/>
  <c r="J40" i="1"/>
  <c r="I40" i="1"/>
  <c r="K40" i="1"/>
  <c r="L40" i="1"/>
  <c r="K4" i="5"/>
  <c r="J4" i="5"/>
  <c r="L4" i="5"/>
  <c r="J147" i="5"/>
  <c r="K147" i="5"/>
  <c r="L147" i="5"/>
  <c r="I147" i="5"/>
  <c r="L90" i="5"/>
  <c r="K90" i="5"/>
  <c r="I90" i="5"/>
  <c r="K328" i="5"/>
  <c r="I328" i="5"/>
  <c r="K63" i="5"/>
  <c r="L98" i="5"/>
  <c r="K98" i="5"/>
  <c r="J98" i="5"/>
  <c r="I98" i="5"/>
  <c r="I193" i="5"/>
  <c r="K193" i="5"/>
  <c r="L193" i="5"/>
  <c r="J193" i="5"/>
  <c r="J112" i="5"/>
  <c r="L112" i="5"/>
  <c r="K112" i="5"/>
  <c r="I112" i="5"/>
  <c r="K18" i="5"/>
  <c r="L18" i="5"/>
  <c r="I18" i="5"/>
  <c r="I40" i="5"/>
  <c r="L40" i="5"/>
  <c r="J40" i="5"/>
  <c r="K40" i="5"/>
  <c r="I209" i="5"/>
  <c r="K209" i="5"/>
  <c r="L209" i="5"/>
  <c r="J209" i="5"/>
  <c r="L240" i="5"/>
  <c r="K240" i="5"/>
  <c r="I240" i="5"/>
  <c r="J240" i="5"/>
  <c r="J52" i="1"/>
  <c r="L52" i="1"/>
  <c r="L43" i="1"/>
  <c r="J43" i="1"/>
  <c r="K43" i="1"/>
  <c r="I43" i="1"/>
  <c r="L48" i="1"/>
  <c r="I48" i="1"/>
  <c r="J48" i="1"/>
  <c r="K58" i="1"/>
  <c r="J58" i="1"/>
  <c r="L58" i="1"/>
  <c r="J46" i="1"/>
  <c r="I46" i="1"/>
  <c r="K46" i="1"/>
  <c r="L46" i="1"/>
  <c r="I166" i="5"/>
  <c r="J166" i="5"/>
  <c r="K166" i="5"/>
  <c r="L166" i="5"/>
  <c r="I266" i="5"/>
  <c r="K266" i="5"/>
  <c r="K142" i="5"/>
  <c r="L142" i="5"/>
  <c r="I142" i="5"/>
  <c r="L127" i="5"/>
  <c r="K127" i="5"/>
  <c r="I127" i="5"/>
  <c r="J127" i="5"/>
  <c r="K141" i="5"/>
  <c r="L141" i="5"/>
  <c r="I141" i="5"/>
  <c r="J141" i="5"/>
  <c r="K86" i="5"/>
  <c r="I86" i="5"/>
  <c r="L86" i="5"/>
  <c r="J86" i="5"/>
  <c r="L199" i="5"/>
  <c r="K199" i="5"/>
  <c r="I199" i="5"/>
  <c r="J203" i="5"/>
  <c r="L203" i="5"/>
  <c r="I203" i="5"/>
  <c r="K203" i="5"/>
  <c r="J217" i="5"/>
  <c r="I217" i="5"/>
  <c r="L217" i="5"/>
  <c r="K217" i="5"/>
  <c r="J162" i="5"/>
  <c r="I162" i="5"/>
  <c r="K162" i="5"/>
  <c r="J190" i="5"/>
  <c r="I190" i="5"/>
  <c r="L190" i="5"/>
  <c r="K10" i="1"/>
  <c r="L10" i="1"/>
  <c r="I10" i="1"/>
  <c r="L4" i="1"/>
  <c r="I4" i="1"/>
  <c r="K6" i="1"/>
  <c r="I6" i="1"/>
  <c r="J6" i="1"/>
  <c r="L57" i="1"/>
  <c r="J57" i="1"/>
  <c r="I57" i="1"/>
  <c r="K57" i="1"/>
  <c r="K27" i="1"/>
  <c r="L27" i="1"/>
  <c r="J27" i="1"/>
  <c r="I27" i="1"/>
  <c r="I330" i="5"/>
  <c r="K330" i="5"/>
  <c r="L330" i="5"/>
  <c r="L101" i="5"/>
  <c r="I101" i="5"/>
  <c r="K101" i="5"/>
  <c r="J311" i="5"/>
  <c r="I311" i="5"/>
  <c r="K311" i="5"/>
  <c r="L311" i="5"/>
  <c r="I213" i="5"/>
  <c r="L213" i="5"/>
  <c r="K213" i="5"/>
  <c r="K97" i="5"/>
  <c r="I97" i="5"/>
  <c r="J319" i="5"/>
  <c r="L319" i="5"/>
  <c r="I319" i="5"/>
  <c r="K319" i="5"/>
  <c r="L194" i="5"/>
  <c r="I194" i="5"/>
  <c r="K194" i="5"/>
  <c r="I222" i="5"/>
  <c r="K222" i="5"/>
  <c r="J222" i="5"/>
  <c r="L222" i="5"/>
  <c r="L72" i="5"/>
  <c r="I72" i="5"/>
  <c r="J72" i="5"/>
  <c r="K72" i="5"/>
  <c r="K183" i="5"/>
  <c r="L183" i="5"/>
  <c r="J183" i="5"/>
  <c r="I183" i="5"/>
  <c r="I116" i="5"/>
  <c r="K116" i="5"/>
  <c r="J116" i="5"/>
  <c r="L9" i="5"/>
  <c r="J9" i="5"/>
  <c r="I9" i="5"/>
  <c r="K9" i="5"/>
  <c r="K37" i="5"/>
  <c r="J37" i="5"/>
  <c r="K174" i="5"/>
  <c r="I174" i="5"/>
  <c r="J174" i="5"/>
  <c r="L174" i="5"/>
  <c r="J18" i="1"/>
  <c r="I18" i="1"/>
  <c r="K18" i="1"/>
  <c r="I50" i="1"/>
  <c r="K50" i="1"/>
  <c r="L50" i="1"/>
  <c r="L118" i="5"/>
  <c r="K118" i="5"/>
  <c r="I296" i="5"/>
  <c r="L296" i="5"/>
  <c r="K296" i="5"/>
  <c r="K169" i="5"/>
  <c r="I169" i="5"/>
  <c r="J169" i="5"/>
  <c r="I261" i="5"/>
  <c r="J261" i="5"/>
  <c r="L261" i="5"/>
  <c r="K261" i="5"/>
  <c r="K146" i="5"/>
  <c r="I146" i="5"/>
  <c r="L146" i="5"/>
  <c r="J146" i="5"/>
  <c r="I45" i="5"/>
  <c r="K45" i="5"/>
  <c r="J51" i="1"/>
  <c r="K51" i="1"/>
  <c r="L51" i="1"/>
  <c r="I37" i="1"/>
  <c r="J37" i="1"/>
  <c r="L37" i="1"/>
  <c r="K37" i="1"/>
  <c r="K8" i="3" l="1"/>
  <c r="J142" i="5"/>
  <c r="J63" i="5"/>
  <c r="J49" i="1"/>
  <c r="J324" i="5"/>
  <c r="J270" i="5"/>
  <c r="J242" i="5"/>
  <c r="J326" i="5"/>
  <c r="J172" i="5"/>
  <c r="J15" i="5"/>
  <c r="J17" i="1"/>
  <c r="J294" i="5"/>
  <c r="J338" i="5"/>
  <c r="J108" i="5"/>
  <c r="J314" i="5"/>
  <c r="J269" i="5"/>
  <c r="J24" i="5"/>
  <c r="J342" i="5"/>
  <c r="J258" i="5"/>
  <c r="J45" i="5"/>
  <c r="J266" i="5"/>
  <c r="J322" i="5"/>
  <c r="J59" i="1"/>
  <c r="J280" i="5"/>
  <c r="J274" i="5"/>
  <c r="J334" i="5"/>
  <c r="J337" i="5"/>
  <c r="J71" i="5"/>
  <c r="J82" i="5"/>
  <c r="L44" i="1"/>
  <c r="J19" i="5"/>
  <c r="J26" i="1"/>
  <c r="J321" i="5"/>
  <c r="K25" i="1"/>
  <c r="J181" i="5"/>
  <c r="J120" i="5"/>
  <c r="J210" i="5"/>
  <c r="J7" i="5"/>
  <c r="J312" i="5"/>
  <c r="J39" i="5"/>
  <c r="J186" i="5"/>
  <c r="J221" i="5"/>
  <c r="J50" i="5"/>
  <c r="K4" i="1"/>
  <c r="J29" i="1"/>
  <c r="L56" i="1"/>
  <c r="J306" i="5"/>
  <c r="J56" i="5"/>
  <c r="L55" i="1"/>
  <c r="J64" i="5"/>
  <c r="I17" i="1"/>
  <c r="J67" i="5"/>
  <c r="L28" i="1"/>
  <c r="J197" i="5"/>
  <c r="J104" i="5"/>
  <c r="J59" i="5"/>
  <c r="J13" i="5"/>
  <c r="J31" i="5"/>
  <c r="J189" i="5"/>
  <c r="J85" i="5"/>
  <c r="J61" i="5"/>
  <c r="J128" i="5"/>
  <c r="J27" i="5"/>
  <c r="J5" i="5"/>
  <c r="J48" i="5"/>
  <c r="J254" i="5"/>
  <c r="J97" i="5"/>
  <c r="J317" i="5"/>
  <c r="J16" i="5"/>
  <c r="J158" i="5"/>
  <c r="J246" i="5"/>
  <c r="I52" i="1"/>
  <c r="J140" i="5"/>
  <c r="J328" i="5"/>
  <c r="J278" i="5"/>
  <c r="J286" i="5"/>
  <c r="J241" i="5"/>
  <c r="J250" i="5"/>
  <c r="J124" i="5"/>
  <c r="J126" i="5"/>
  <c r="J302" i="5"/>
  <c r="J192" i="5"/>
  <c r="J8" i="5"/>
  <c r="J194" i="5"/>
  <c r="J21" i="1"/>
  <c r="J298" i="5"/>
  <c r="J208" i="5"/>
  <c r="J42" i="5"/>
  <c r="J55" i="5"/>
  <c r="J94" i="5"/>
  <c r="J53" i="5"/>
  <c r="J92" i="5"/>
  <c r="J101" i="5"/>
  <c r="J81" i="5"/>
  <c r="J218" i="5"/>
  <c r="J73" i="5"/>
  <c r="J213" i="5"/>
  <c r="J113" i="5"/>
  <c r="J44" i="1"/>
  <c r="J29" i="5"/>
  <c r="J35" i="5"/>
  <c r="J47" i="5"/>
  <c r="L38" i="1"/>
  <c r="J10" i="1"/>
  <c r="J184" i="5"/>
  <c r="J121" i="5"/>
  <c r="J43" i="5"/>
  <c r="J340" i="5"/>
  <c r="J133" i="5"/>
  <c r="J310" i="5"/>
  <c r="J290" i="5"/>
  <c r="J216" i="5"/>
  <c r="J318" i="5"/>
  <c r="J285" i="5"/>
  <c r="J117" i="5"/>
  <c r="J10" i="5"/>
  <c r="J224" i="5"/>
  <c r="J165" i="5"/>
  <c r="J178" i="5"/>
  <c r="J51" i="5"/>
  <c r="J76" i="5"/>
  <c r="J23" i="1"/>
  <c r="J202" i="5"/>
  <c r="J149" i="5"/>
  <c r="J200" i="5"/>
  <c r="J106" i="5"/>
  <c r="J105" i="5"/>
  <c r="J11" i="5"/>
  <c r="J110" i="5"/>
  <c r="J129" i="5"/>
  <c r="J74" i="5"/>
  <c r="J229" i="5"/>
  <c r="J88" i="5"/>
  <c r="J282" i="5"/>
  <c r="J28" i="1"/>
  <c r="J262" i="5"/>
  <c r="J122" i="5"/>
  <c r="J21" i="5"/>
  <c r="J18" i="5"/>
  <c r="J90" i="5"/>
  <c r="J156" i="5"/>
  <c r="J296" i="5"/>
  <c r="J23" i="5"/>
  <c r="J130" i="5"/>
  <c r="J330" i="5"/>
  <c r="J78" i="5"/>
  <c r="L8" i="3" l="1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<sst xmlns="http://schemas.openxmlformats.org/spreadsheetml/2006/main" count="1288" uniqueCount="1214">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</sst>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M6" sqref="M6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[1]!grideasting(B4,C4,A4)</f>
        <v>394478.38454647566</v>
      </c>
      <c r="E4" s="35">
        <f>[1]!gridnorthing(B4,C4,A4)</f>
        <v>6480973.9353901688</v>
      </c>
      <c r="F4" s="36">
        <f>[1]!gridzone(B4,C4,A4)</f>
        <v>50</v>
      </c>
      <c r="G4" s="36" t="str">
        <f>[1]!GridGridCon(B4,C4,A4)</f>
        <v>-0 35 15.02</v>
      </c>
      <c r="H4" s="37">
        <f>[1]!GridPntScleFact(B4,C4,A4)</f>
        <v>0.99973732494035861</v>
      </c>
      <c r="I4" s="38" t="str">
        <f>[1]!datumlat(D4,E4,F4,A4)</f>
        <v>-31 48  7.06487</v>
      </c>
      <c r="J4" s="38" t="str">
        <f>[1]!datumlong(D4,E4,F4,A4)</f>
        <v>115 53  6.94375</v>
      </c>
      <c r="K4" s="39">
        <f>[1]!DatumPntScle(D4,E4,F4,A4)</f>
        <v>0.99973732494032375</v>
      </c>
      <c r="L4" s="40" t="str">
        <f>[1]!DatumGridConv(D4,E4,F4,A4)</f>
        <v>-0 35 15.02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[1]!grideasting(B5,C5,A5)</f>
        <v>52218.158970447555</v>
      </c>
      <c r="E5" s="26">
        <f>[1]!gridnorthing(B5,C5,A5)</f>
        <v>222882.2494979687</v>
      </c>
      <c r="F5" s="27">
        <f>[1]!gridzone(B5,C5,A5)</f>
        <v>1</v>
      </c>
      <c r="G5" s="27" t="str">
        <f>[1]!GridGridCon(B5,C5,A5)</f>
        <v>0  0 50.22</v>
      </c>
      <c r="H5" s="28">
        <f>[1]!GridPntScleFact(B5,C5,A5)</f>
        <v>1.0000044606129772</v>
      </c>
      <c r="I5" s="29" t="str">
        <f>[1]!datumlat(D5,E5,F5,A5)</f>
        <v>-35  1 21.36837</v>
      </c>
      <c r="J5" s="29" t="str">
        <f>[1]!datumlong(D5,E5,F5,A5)</f>
        <v>117 54 27.49802</v>
      </c>
      <c r="K5" s="30">
        <f>[1]!DatumPntScle(D5,E5,F5,A5)</f>
        <v>1.0000044606129772</v>
      </c>
      <c r="L5" s="31" t="str">
        <f>[1]!DatumGridConv(D5,E5,F5,A5)</f>
        <v>0  0 50.22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[1]!grideasting(B6,C6,A6)</f>
        <v>43346.105333539177</v>
      </c>
      <c r="E6" s="4">
        <f>[1]!gridnorthing(B6,C6,A6)</f>
        <v>273769.14123761328</v>
      </c>
      <c r="F6" s="8">
        <f>[1]!gridzone(B6,C6,A6)</f>
        <v>1</v>
      </c>
      <c r="G6" s="8" t="str">
        <f>[1]!GridGridCon(B6,C6,A6)</f>
        <v>-0  2 23.16</v>
      </c>
      <c r="H6" s="9">
        <f>[1]!GridPntScleFact(B6,C6,A6)</f>
        <v>0.99999646558783428</v>
      </c>
      <c r="I6" s="5" t="str">
        <f>[1]!datumlat(D6,E6,F6,A6)</f>
        <v>-33 39 45.57088</v>
      </c>
      <c r="J6" s="5" t="str">
        <f>[1]!datumlong(D6,E6,F6,A6)</f>
        <v>115 21 41.73008</v>
      </c>
      <c r="K6" s="10">
        <f>[1]!DatumPntScle(D6,E6,F6,A6)</f>
        <v>0.99999646558783428</v>
      </c>
      <c r="L6" s="11" t="str">
        <f>[1]!DatumGridConv(D6,E6,F6,A6)</f>
        <v>-0  2 23.16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[1]!grideasting(B7,C7,A7)</f>
        <v>75026.204136866014</v>
      </c>
      <c r="E7" s="4">
        <f>[1]!gridnorthing(B7,C7,A7)</f>
        <v>396914.87564936932</v>
      </c>
      <c r="F7" s="8">
        <f>[1]!gridzone(B7,C7,A7)</f>
        <v>1</v>
      </c>
      <c r="G7" s="8" t="str">
        <f>[1]!GridGridCon(B7,C7,A7)</f>
        <v>0  3  4.7</v>
      </c>
      <c r="H7" s="9">
        <f>[1]!GridPntScleFact(B7,C7,A7)</f>
        <v>1.0000049890891283</v>
      </c>
      <c r="I7" s="5" t="str">
        <f>[1]!datumlat(D7,E7,F7,A7)</f>
        <v>-20 49  9.57157</v>
      </c>
      <c r="J7" s="5" t="str">
        <f>[1]!datumlong(D7,E7,F7,A7)</f>
        <v>115 23 39.66157</v>
      </c>
      <c r="K7" s="10">
        <f>[1]!DatumPntScle(D7,E7,F7,A7)</f>
        <v>1.0000049890891283</v>
      </c>
      <c r="L7" s="11" t="str">
        <f>[1]!DatumGridConv(D7,E7,F7,A7)</f>
        <v>0  3  4.7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[1]!grideasting(B8,C8,A8)</f>
        <v>36842.78231252078</v>
      </c>
      <c r="E8" s="4">
        <f>[1]!gridnorthing(B8,C8,A8)</f>
        <v>308568.04347882234</v>
      </c>
      <c r="F8" s="8">
        <f>[1]!gridzone(B8,C8,A8)</f>
        <v>1</v>
      </c>
      <c r="G8" s="8" t="str">
        <f>[1]!GridGridCon(B8,C8,A8)</f>
        <v>-0  2 18.24</v>
      </c>
      <c r="H8" s="9">
        <f>[1]!GridPntScleFact(B8,C8,A8)</f>
        <v>1.0000051192953217</v>
      </c>
      <c r="I8" s="5" t="str">
        <f>[1]!datumlat(D8,E8,F8,A8)</f>
        <v>-18  0 14.30101</v>
      </c>
      <c r="J8" s="5" t="str">
        <f>[1]!datumlong(D8,E8,F8,A8)</f>
        <v>122 12 32.74179</v>
      </c>
      <c r="K8" s="10">
        <f>[1]!DatumPntScle(D8,E8,F8,A8)</f>
        <v>1.0000051192953217</v>
      </c>
      <c r="L8" s="11" t="str">
        <f>[1]!DatumGridConv(D8,E8,F8,A8)</f>
        <v>-0  2 18.24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[1]!grideasting(B9,C9,A9)</f>
        <v>51836.014319816837</v>
      </c>
      <c r="E9" s="4">
        <f>[1]!gridnorthing(B9,C9,A9)</f>
        <v>299524.52834455855</v>
      </c>
      <c r="F9" s="8">
        <f>[1]!gridzone(B9,C9,A9)</f>
        <v>1</v>
      </c>
      <c r="G9" s="8" t="str">
        <f>[1]!GridGridCon(B9,C9,A9)</f>
        <v>0  0 27.49</v>
      </c>
      <c r="H9" s="9">
        <f>[1]!GridPntScleFact(B9,C9,A9)</f>
        <v>0.99999800161253793</v>
      </c>
      <c r="I9" s="5" t="str">
        <f>[1]!datumlat(D9,E9,F9,A9)</f>
        <v>-24 51 33.88264</v>
      </c>
      <c r="J9" s="5" t="str">
        <f>[1]!datumlong(D9,E9,F9,A9)</f>
        <v>113 41  5.40036</v>
      </c>
      <c r="K9" s="10">
        <f>[1]!DatumPntScle(D9,E9,F9,A9)</f>
        <v>0.99999800161253793</v>
      </c>
      <c r="L9" s="11" t="str">
        <f>[1]!DatumGridConv(D9,E9,F9,A9)</f>
        <v>0  0 27.49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[1]!grideasting(B10,C10,A10)</f>
        <v>57244.545121072792</v>
      </c>
      <c r="E10" s="4">
        <f>[1]!gridnorthing(B10,C10,A10)</f>
        <v>243201.18275029841</v>
      </c>
      <c r="F10" s="8">
        <f>[1]!gridzone(B10,C10,A10)</f>
        <v>1</v>
      </c>
      <c r="G10" s="8" t="str">
        <f>[1]!GridGridCon(B10,C10,A10)</f>
        <v>0  0 43.25</v>
      </c>
      <c r="H10" s="9">
        <f>[1]!GridPntScleFact(B10,C10,A10)</f>
        <v>1.000025789111217</v>
      </c>
      <c r="I10" s="5" t="str">
        <f>[1]!datumlat(D10,E10,F10,A10)</f>
        <v>-10 27 37.10201</v>
      </c>
      <c r="J10" s="5" t="str">
        <f>[1]!datumlong(D10,E10,F10,A10)</f>
        <v>105 41 28.21094</v>
      </c>
      <c r="K10" s="10">
        <f>[1]!DatumPntScle(D10,E10,F10,A10)</f>
        <v>1.000025789111217</v>
      </c>
      <c r="L10" s="11" t="str">
        <f>[1]!DatumGridConv(D10,E10,F10,A10)</f>
        <v>0  0 43.25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[1]!grideasting(B11,C11,A11)</f>
        <v>45535.747314240689</v>
      </c>
      <c r="E11" s="4">
        <f>[1]!gridnorthing(B11,C11,A11)</f>
        <v>252088.35109252925</v>
      </c>
      <c r="F11" s="8">
        <f>[1]!gridzone(B11,C11,A11)</f>
        <v>1</v>
      </c>
      <c r="G11" s="8" t="str">
        <f>[1]!GridGridCon(B11,C11,A11)</f>
        <v>-0  0 31.18</v>
      </c>
      <c r="H11" s="9">
        <f>[1]!GridPntScleFact(B11,C11,A11)</f>
        <v>0.99999411645658109</v>
      </c>
      <c r="I11" s="5" t="str">
        <f>[1]!datumlat(D11,E11,F11,A11)</f>
        <v>-12 11 18.03578</v>
      </c>
      <c r="J11" s="5" t="str">
        <f>[1]!datumlong(D11,E11,F11,A11)</f>
        <v>96 50  2.32078</v>
      </c>
      <c r="K11" s="10">
        <f>[1]!DatumPntScle(D11,E11,F11,A11)</f>
        <v>0.99999411645658132</v>
      </c>
      <c r="L11" s="11" t="str">
        <f>[1]!DatumGridConv(D11,E11,F11,A11)</f>
        <v>-0  0 31.18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[1]!grideasting(B12,C12,A12)</f>
        <v>42800.706585075714</v>
      </c>
      <c r="E12" s="4">
        <f>[1]!gridnorthing(B12,C12,A12)</f>
        <v>342962.55476476857</v>
      </c>
      <c r="F12" s="8">
        <f>[1]!gridzone(B12,C12,A12)</f>
        <v>1</v>
      </c>
      <c r="G12" s="8" t="str">
        <f>[1]!GridGridCon(B12,C12,A12)</f>
        <v>0  1  0.89</v>
      </c>
      <c r="H12" s="9">
        <f>[1]!GridPntScleFact(B12,C12,A12)</f>
        <v>1.0000190966522484</v>
      </c>
      <c r="I12" s="5" t="str">
        <f>[1]!datumlat(D12,E12,F12,A12)</f>
        <v>-33 56 22.68614</v>
      </c>
      <c r="J12" s="5" t="str">
        <f>[1]!datumlong(D12,E12,F12,A12)</f>
        <v>115 57 49.05725</v>
      </c>
      <c r="K12" s="10">
        <f>[1]!DatumPntScle(D12,E12,F12,A12)</f>
        <v>1.0000190966522484</v>
      </c>
      <c r="L12" s="11" t="str">
        <f>[1]!DatumGridConv(D12,E12,F12,A12)</f>
        <v>0  1  0.89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[1]!grideasting(B13,C13,A13)</f>
        <v>51471.200505418943</v>
      </c>
      <c r="E13" s="4">
        <f>[1]!gridnorthing(B13,C13,A13)</f>
        <v>356188.98967923829</v>
      </c>
      <c r="F13" s="8">
        <f>[1]!gridzone(B13,C13,A13)</f>
        <v>1</v>
      </c>
      <c r="G13" s="8" t="str">
        <f>[1]!GridGridCon(B13,C13,A13)</f>
        <v>0  0 31.3</v>
      </c>
      <c r="H13" s="9">
        <f>[1]!GridPntScleFact(B13,C13,A13)</f>
        <v>1.0000055266734855</v>
      </c>
      <c r="I13" s="5" t="str">
        <f>[1]!datumlat(D13,E13,F13,A13)</f>
        <v>-33 22 12.21651</v>
      </c>
      <c r="J13" s="5" t="str">
        <f>[1]!datumlong(D13,E13,F13,A13)</f>
        <v>121 53 56.91197</v>
      </c>
      <c r="K13" s="10">
        <f>[1]!DatumPntScle(D13,E13,F13,A13)</f>
        <v>1.0000055266734855</v>
      </c>
      <c r="L13" s="11" t="str">
        <f>[1]!DatumGridConv(D13,E13,F13,A13)</f>
        <v>0  0 31.3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[1]!grideasting(B14,C14,A14)</f>
        <v>36205.287774120807</v>
      </c>
      <c r="E14" s="4">
        <f>[1]!gridnorthing(B14,C14,A14)</f>
        <v>318804.30567216873</v>
      </c>
      <c r="F14" s="8">
        <f>[1]!gridzone(B14,C14,A14)</f>
        <v>1</v>
      </c>
      <c r="G14" s="8" t="str">
        <f>[1]!GridGridCon(B14,C14,A14)</f>
        <v>-0  2 59.94</v>
      </c>
      <c r="H14" s="9">
        <f>[1]!GridPntScleFact(B14,C14,A14)</f>
        <v>1.0000047102235339</v>
      </c>
      <c r="I14" s="5" t="str">
        <f>[1]!datumlat(D14,E14,F14,A14)</f>
        <v>-21 58 34.93247</v>
      </c>
      <c r="J14" s="5" t="str">
        <f>[1]!datumlong(D14,E14,F14,A14)</f>
        <v>113 55 59.1598</v>
      </c>
      <c r="K14" s="10">
        <f>[1]!DatumPntScle(D14,E14,F14,A14)</f>
        <v>1.0000047102235339</v>
      </c>
      <c r="L14" s="11" t="str">
        <f>[1]!DatumGridConv(D14,E14,F14,A14)</f>
        <v>-0  2 59.94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[1]!grideasting(B15,C15,A15)</f>
        <v>53060.538977878503</v>
      </c>
      <c r="E15" s="4">
        <f>[1]!gridnorthing(B15,C15,A15)</f>
        <v>265149.05894622998</v>
      </c>
      <c r="F15" s="8">
        <f>[1]!gridzone(B15,C15,A15)</f>
        <v>1</v>
      </c>
      <c r="G15" s="8" t="str">
        <f>[1]!GridGridCon(B15,C15,A15)</f>
        <v>0  0 54.32</v>
      </c>
      <c r="H15" s="9">
        <f>[1]!GridPntScleFact(B15,C15,A15)</f>
        <v>1.0000063955430265</v>
      </c>
      <c r="I15" s="5" t="str">
        <f>[1]!datumlat(D15,E15,F15,A15)</f>
        <v>-28 46 46.20322</v>
      </c>
      <c r="J15" s="5" t="str">
        <f>[1]!datumlong(D15,E15,F15,A15)</f>
        <v>114 36 52.83602</v>
      </c>
      <c r="K15" s="10">
        <f>[1]!DatumPntScle(D15,E15,F15,A15)</f>
        <v>1.0000063955430265</v>
      </c>
      <c r="L15" s="11" t="str">
        <f>[1]!DatumGridConv(D15,E15,F15,A15)</f>
        <v>0  0 54.32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[1]!grideasting(B16,C16,A16)</f>
        <v>60749.353492408038</v>
      </c>
      <c r="E16" s="4">
        <f>[1]!gridnorthing(B16,C16,A16)</f>
        <v>385966.46347103966</v>
      </c>
      <c r="F16" s="8">
        <f>[1]!gridzone(B16,C16,A16)</f>
        <v>1</v>
      </c>
      <c r="G16" s="8" t="str">
        <f>[1]!GridGridCon(B16,C16,A16)</f>
        <v>0  0 14.46</v>
      </c>
      <c r="H16" s="9">
        <f>[1]!GridPntScleFact(B16,C16,A16)</f>
        <v>1.0000494969234321</v>
      </c>
      <c r="I16" s="5" t="str">
        <f>[1]!datumlat(D16,E16,F16,A16)</f>
        <v>-30 50 44.42871</v>
      </c>
      <c r="J16" s="5" t="str">
        <f>[1]!datumlong(D16,E16,F16,A16)</f>
        <v>121 30 28.19991</v>
      </c>
      <c r="K16" s="10">
        <f>[1]!DatumPntScle(D16,E16,F16,A16)</f>
        <v>1.0000494969234324</v>
      </c>
      <c r="L16" s="11" t="str">
        <f>[1]!DatumGridConv(D16,E16,F16,A16)</f>
        <v>0  0 14.46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[1]!grideasting(B17,C17,A17)</f>
        <v>58837.850275578472</v>
      </c>
      <c r="E17" s="4">
        <f>[1]!gridnorthing(B17,C17,A17)</f>
        <v>296734.66112685762</v>
      </c>
      <c r="F17" s="8">
        <f>[1]!gridzone(B17,C17,A17)</f>
        <v>1</v>
      </c>
      <c r="G17" s="8" t="str">
        <f>[1]!GridGridCon(B17,C17,A17)</f>
        <v>0  2 46.86</v>
      </c>
      <c r="H17" s="9">
        <f>[1]!GridPntScleFact(B17,C17,A17)</f>
        <v>1.0000041031859286</v>
      </c>
      <c r="I17" s="5" t="str">
        <f>[1]!datumlat(D17,E17,F17,A17)</f>
        <v>-30 17 56.14676</v>
      </c>
      <c r="J17" s="5" t="str">
        <f>[1]!datumlong(D17,E17,F17,A17)</f>
        <v>115  4 30.74372</v>
      </c>
      <c r="K17" s="10">
        <f>[1]!DatumPntScle(D17,E17,F17,A17)</f>
        <v>1.0000041031859284</v>
      </c>
      <c r="L17" s="11" t="str">
        <f>[1]!DatumGridConv(D17,E17,F17,A17)</f>
        <v>0  2 46.86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[1]!grideasting(B18,C18,A18)</f>
        <v>26435.623934862593</v>
      </c>
      <c r="E18" s="4">
        <f>[1]!gridnorthing(B18,C18,A18)</f>
        <v>682101.70557887526</v>
      </c>
      <c r="F18" s="8">
        <f>[1]!gridzone(B18,C18,A18)</f>
        <v>1</v>
      </c>
      <c r="G18" s="8" t="str">
        <f>[1]!GridGridCon(B18,C18,A18)</f>
        <v>-0  7 55.88</v>
      </c>
      <c r="H18" s="9">
        <f>[1]!GridPntScleFact(B18,C18,A18)</f>
        <v>1.0000240675036451</v>
      </c>
      <c r="I18" s="5" t="str">
        <f>[1]!datumlat(D18,E18,F18,A18)</f>
        <v>-27 16 20.94329</v>
      </c>
      <c r="J18" s="5" t="str">
        <f>[1]!datumlong(D18,E18,F18,A18)</f>
        <v>114  1 36.46503</v>
      </c>
      <c r="K18" s="10">
        <f>[1]!DatumPntScle(D18,E18,F18,A18)</f>
        <v>1.0000240675036451</v>
      </c>
      <c r="L18" s="11" t="str">
        <f>[1]!DatumGridConv(D18,E18,F18,A18)</f>
        <v>-0  7 55.88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[1]!grideasting(B19,C19,A19)</f>
        <v>38357.638770312231</v>
      </c>
      <c r="E19" s="4">
        <f>[1]!gridnorthing(B19,C19,A19)</f>
        <v>256045.21969930222</v>
      </c>
      <c r="F19" s="8">
        <f>[1]!gridzone(B19,C19,A19)</f>
        <v>1</v>
      </c>
      <c r="G19" s="8" t="str">
        <f>[1]!GridGridCon(B19,C19,A19)</f>
        <v>-0  2 22.49</v>
      </c>
      <c r="H19" s="9">
        <f>[1]!GridPntScleFact(B19,C19,A19)</f>
        <v>1.0000005743755216</v>
      </c>
      <c r="I19" s="5" t="str">
        <f>[1]!datumlat(D19,E19,F19,A19)</f>
        <v>-20 44 13.02258</v>
      </c>
      <c r="J19" s="5" t="str">
        <f>[1]!datumlong(D19,E19,F19,A19)</f>
        <v>116 49 17.58104</v>
      </c>
      <c r="K19" s="10">
        <f>[1]!DatumPntScle(D19,E19,F19,A19)</f>
        <v>1.0000005743755218</v>
      </c>
      <c r="L19" s="11" t="str">
        <f>[1]!DatumGridConv(D19,E19,F19,A19)</f>
        <v>-0  2 22.49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[1]!grideasting(B20,C20,A20)</f>
        <v>54269.551231121477</v>
      </c>
      <c r="E20" s="4">
        <f>[1]!gridnorthing(B20,C20,A20)</f>
        <v>342672.67833085661</v>
      </c>
      <c r="F20" s="8">
        <f>[1]!gridzone(B20,C20,A20)</f>
        <v>1</v>
      </c>
      <c r="G20" s="8" t="str">
        <f>[1]!GridGridCon(B20,C20,A20)</f>
        <v>0  0 39.29</v>
      </c>
      <c r="H20" s="9">
        <f>[1]!GridPntScleFact(B20,C20,A20)</f>
        <v>1.0000167253309413</v>
      </c>
      <c r="I20" s="5" t="str">
        <f>[1]!datumlat(D20,E20,F20,A20)</f>
        <v>-15 53 18.37443</v>
      </c>
      <c r="J20" s="5" t="str">
        <f>[1]!datumlong(D20,E20,F20,A20)</f>
        <v>128 47 23.52056</v>
      </c>
      <c r="K20" s="10">
        <f>[1]!DatumPntScle(D20,E20,F20,A20)</f>
        <v>1.0000167253309411</v>
      </c>
      <c r="L20" s="11" t="str">
        <f>[1]!DatumGridConv(D20,E20,F20,A20)</f>
        <v>0  0 39.29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-0  1  3.34</v>
      </c>
      <c r="H21" s="9">
        <f>[1]!GridPntScleFact(B21,C21,A21)</f>
        <v>1.0000017010013671</v>
      </c>
      <c r="I21" s="5" t="str">
        <f>[1]!datumlat(D21,E21,F21,A21)</f>
        <v>-31  1 17.61669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-0  1  3.34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-0  3 25.44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115  3 52.37757</v>
      </c>
      <c r="K22" s="10">
        <f>[1]!DatumPntScle(D22,E22,F22,A22)</f>
        <v>1.0000065973401875</v>
      </c>
      <c r="L22" s="11" t="str">
        <f>[1]!DatumGridConv(D22,E22,F22,A22)</f>
        <v>-0  3 25.44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0  2 10.14</v>
      </c>
      <c r="H23" s="9">
        <f>[1]!GridPntScleFact(B23,C23,A23)</f>
        <v>0.99999958015493318</v>
      </c>
      <c r="I23" s="5" t="str">
        <f>[1]!datumlat(D23,E23,F23,A23)</f>
        <v>-31 48  7.06434</v>
      </c>
      <c r="J23" s="5" t="str">
        <f>[1]!datumlong(D23,E23,F23,A23)</f>
        <v>115 53  6.94332</v>
      </c>
      <c r="K23" s="10">
        <f>[1]!DatumPntScle(D23,E23,F23,A23)</f>
        <v>0.9999995801549334</v>
      </c>
      <c r="L23" s="11" t="str">
        <f>[1]!DatumGridConv(D23,E23,F23,A23)</f>
        <v>0  2 10.14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-0  1 46.29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-0  1 46.29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-0 35 15.05</v>
      </c>
      <c r="H25" s="37">
        <f>[1]!GridPntScleFact(B25,C25,A25)</f>
        <v>0.99973732884462252</v>
      </c>
      <c r="I25" s="38" t="str">
        <f>[1]!datumlat(D25,E25,F25,A25)</f>
        <v>-31 48  7.09684</v>
      </c>
      <c r="J25" s="38" t="str">
        <f>[1]!datumlong(D25,E25,F25,A25)</f>
        <v>115 53  6.88632</v>
      </c>
      <c r="K25" s="39">
        <f>[1]!DatumPntScle(D25,E25,F25,A25)</f>
        <v>0.99973732884458788</v>
      </c>
      <c r="L25" s="40" t="str">
        <f>[1]!DatumGridConv(D25,E25,F25,A25)</f>
        <v>-0 35 15.05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0  0 50.18</v>
      </c>
      <c r="H26" s="9">
        <f>[1]!GridPntScleFact(B26,C26,A26)</f>
        <v>1.000004460531027</v>
      </c>
      <c r="I26" s="5" t="str">
        <f>[1]!datumlat(D26,E26,F26,A26)</f>
        <v>-35  1 21.40083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0  0 50.18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-0  2 23.19</v>
      </c>
      <c r="H27" s="9">
        <f>[1]!GridPntScleFact(B27,C27,A27)</f>
        <v>0.99999646583385027</v>
      </c>
      <c r="I27" s="5" t="str">
        <f>[1]!datumlat(D27,E27,F27,A27)</f>
        <v>-33 39 45.6033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-0  2 23.19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0  3  4.68</v>
      </c>
      <c r="H28" s="9">
        <f>[1]!GridPntScleFact(B28,C28,A28)</f>
        <v>1.0000049885323545</v>
      </c>
      <c r="I28" s="5" t="str">
        <f>[1]!datumlat(D28,E28,F28,A28)</f>
        <v>-20 49  9.60413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0  3  4.68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-0  2 18.26</v>
      </c>
      <c r="H29" s="9">
        <f>[1]!GridPntScleFact(B29,C29,A29)</f>
        <v>1.0000051197831048</v>
      </c>
      <c r="I29" s="5" t="str">
        <f>[1]!datumlat(D29,E29,F29,A29)</f>
        <v>-18  0 14.3335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-0  2 18.26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0  0 27.47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113 41  5.34693</v>
      </c>
      <c r="K30" s="10">
        <f>[1]!DatumPntScle(D30,E30,F30,A30)</f>
        <v>0.99999800154456742</v>
      </c>
      <c r="L30" s="11" t="str">
        <f>[1]!DatumGridConv(D30,E30,F30,A30)</f>
        <v>0  0 27.47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0  0 43.24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0  0 43.24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-0  0 31.19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96 50  2.27115</v>
      </c>
      <c r="K32" s="10">
        <f>[1]!DatumPntScle(D32,E32,F32,A32)</f>
        <v>0.99999411662224358</v>
      </c>
      <c r="L32" s="11" t="str">
        <f>[1]!DatumGridConv(D32,E32,F32,A32)</f>
        <v>-0  0 31.19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0  1  0.86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0  1  0.86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0  0 31.27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0  0 31.27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-0  2 59.96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-0  2 59.96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0  0 54.3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0  0 54.3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0  0 14.43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0  0 14.43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0  2 46.84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115  4 30.68762</v>
      </c>
      <c r="K38" s="10">
        <f>[1]!DatumPntScle(D38,E38,F38,A38)</f>
        <v>1.000004102859031</v>
      </c>
      <c r="L38" s="11" t="str">
        <f>[1]!DatumGridConv(D38,E38,F38,A38)</f>
        <v>0  2 46.84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-0  7 55.91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114  1 36.41041</v>
      </c>
      <c r="K39" s="10">
        <f>[1]!DatumPntScle(D39,E39,F39,A39)</f>
        <v>1.0000240685610091</v>
      </c>
      <c r="L39" s="11" t="str">
        <f>[1]!DatumGridConv(D39,E39,F39,A39)</f>
        <v>-0  7 55.91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-0  2 22.51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-0  2 22.51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0  0 39.28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0  0 39.28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-0  1  3.36</v>
      </c>
      <c r="H42" s="9">
        <f>[1]!GridPntScleFact(B42,C42,A42)</f>
        <v>1.0000017011219717</v>
      </c>
      <c r="I42" s="5" t="str">
        <f>[1]!datumlat(D42,E42,F42,A42)</f>
        <v>-31  1 17.64914</v>
      </c>
      <c r="J42" s="5" t="str">
        <f>[1]!datumlong(D42,E42,F42,A42)</f>
        <v>115 19 57.0473</v>
      </c>
      <c r="K42" s="10">
        <f>[1]!DatumPntScle(D42,E42,F42,A42)</f>
        <v>1.0000017011219715</v>
      </c>
      <c r="L42" s="11" t="str">
        <f>[1]!DatumGridConv(D42,E42,F42,A42)</f>
        <v>-0  1  3.36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-0  3 25.47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115  3 52.3191</v>
      </c>
      <c r="K43" s="10">
        <f>[1]!DatumPntScle(D43,E43,F43,A43)</f>
        <v>1.000006597689044</v>
      </c>
      <c r="L43" s="11" t="str">
        <f>[1]!DatumGridConv(D43,E43,F43,A43)</f>
        <v>-0  3 25.47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0  2 10.11</v>
      </c>
      <c r="H44" s="9">
        <f>[1]!GridPntScleFact(B44,C44,A44)</f>
        <v>0.99999957991473221</v>
      </c>
      <c r="I44" s="5" t="str">
        <f>[1]!datumlat(D44,E44,F44,A44)</f>
        <v>-31 48  7.09684</v>
      </c>
      <c r="J44" s="5" t="str">
        <f>[1]!datumlong(D44,E44,F44,A44)</f>
        <v>115 53  6.88632</v>
      </c>
      <c r="K44" s="10">
        <f>[1]!DatumPntScle(D44,E44,F44,A44)</f>
        <v>0.99999957991473221</v>
      </c>
      <c r="L44" s="11" t="str">
        <f>[1]!DatumGridConv(D44,E44,F44,A44)</f>
        <v>0  2 10.11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-0  1 46.3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-0  1 46.3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0 14  3.35</v>
      </c>
      <c r="H46" s="37">
        <f>[1]!GridPntScleFact(B46,C46,A46)</f>
        <v>0.99961707426072355</v>
      </c>
      <c r="I46" s="38" t="str">
        <f>[1]!datumlat(D46,E46,F46,A46)</f>
        <v>-35  2  4.285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0 14  3.35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-0  0 18.69</v>
      </c>
      <c r="H47" s="28">
        <f>[1]!GridPntScleFact(B47,C47,A47)</f>
        <v>1.0000120083940502</v>
      </c>
      <c r="I47" s="29" t="str">
        <f>[1]!datumlat(D47,E47,F47,A47)</f>
        <v>-35  1 21.40083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-0  0 18.69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-0  2 23.19</v>
      </c>
      <c r="H48" s="9">
        <f>[1]!GridPntScleFact(B48,C48,A48)</f>
        <v>1.0000075458398983</v>
      </c>
      <c r="I48" s="5" t="str">
        <f>[1]!datumlat(D48,E48,F48,A48)</f>
        <v>-33 39 45.6033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-0  2 23.19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-0  2 18.26</v>
      </c>
      <c r="H49" s="9">
        <f>[1]!GridPntScleFact(B49,C49,A49)</f>
        <v>1.0000051397831475</v>
      </c>
      <c r="I49" s="5" t="str">
        <f>[1]!datumlat(D49,E49,F49,A49)</f>
        <v>-18  0 14.3335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-0  2 18.26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0  0 27.47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113 41  5.34693</v>
      </c>
      <c r="K50" s="10">
        <f>[1]!DatumPntScle(D50,E50,F50,A50)</f>
        <v>1.00000504154486</v>
      </c>
      <c r="L50" s="11" t="str">
        <f>[1]!DatumGridConv(D50,E50,F50,A50)</f>
        <v>0  0 27.47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0  0 43.24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0  0 43.24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-0  0 31.19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96 50  2.27115</v>
      </c>
      <c r="K52" s="10">
        <f>[1]!DatumPntScle(D52,E52,F52,A52)</f>
        <v>1.0000002466237554</v>
      </c>
      <c r="L52" s="11" t="str">
        <f>[1]!DatumGridConv(D52,E52,F52,A52)</f>
        <v>-0  0 31.19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0  0 31.27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0  0 31.27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-0  2 59.96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-0  2 59.96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-0  1 30.13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-0  1 30.13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0  1 46.72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0  1 46.72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0  2 46.84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115  4 30.68762</v>
      </c>
      <c r="K57" s="10">
        <f>[1]!DatumPntScle(D57,E57,F57,A57)</f>
        <v>1.0000109628656362</v>
      </c>
      <c r="L57" s="11" t="str">
        <f>[1]!DatumGridConv(D57,E57,F57,A57)</f>
        <v>0  2 46.84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-0  2 22.51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-0  2 22.51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0  0 39.28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0  0 39.28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-0  1  3.36</v>
      </c>
      <c r="H60" s="9">
        <f>[1]!GridPntScleFact(B60,C60,A60)</f>
        <v>1.0000081311228148</v>
      </c>
      <c r="I60" s="5" t="str">
        <f>[1]!datumlat(D60,E60,F60,A60)</f>
        <v>-31  1 17.64914</v>
      </c>
      <c r="J60" s="5" t="str">
        <f>[1]!datumlong(D60,E60,F60,A60)</f>
        <v>115 19 57.0473</v>
      </c>
      <c r="K60" s="10">
        <f>[1]!DatumPntScle(D60,E60,F60,A60)</f>
        <v>1.0000081311228146</v>
      </c>
      <c r="L60" s="11" t="str">
        <f>[1]!DatumGridConv(D60,E60,F60,A60)</f>
        <v>-0  1  3.36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-0  1 11.35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115  3 52.3191</v>
      </c>
      <c r="K61" s="10">
        <f>[1]!DatumPntScle(D61,E61,F61,A61)</f>
        <v>1.0000141323709026</v>
      </c>
      <c r="L61" s="11" t="str">
        <f>[1]!DatumGridConv(D61,E61,F61,A61)</f>
        <v>-0  1 11.35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0  1 38.49</v>
      </c>
      <c r="H62" s="9">
        <f>[1]!GridPntScleFact(B62,C62,A62)</f>
        <v>1.000006297917527</v>
      </c>
      <c r="I62" s="5" t="str">
        <f>[1]!datumlat(D62,E62,F62,A62)</f>
        <v>-31 48  7.09684</v>
      </c>
      <c r="J62" s="5" t="str">
        <f>[1]!datumlong(D62,E62,F62,A62)</f>
        <v>115 53  6.88632</v>
      </c>
      <c r="K62" s="10">
        <f>[1]!DatumPntScle(D62,E62,F62,A62)</f>
        <v>1.000006297917527</v>
      </c>
      <c r="L62" s="11" t="str">
        <f>[1]!DatumGridConv(D62,E62,F62,A62)</f>
        <v>0  1 38.49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-0  1 25.4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-0  1 25.4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0  0 33.74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116 26  4.50344</v>
      </c>
      <c r="K4" s="30">
        <f>[1]!DatumPntScle(D4,E4,F4,A4)</f>
        <v>1.0000317756914199</v>
      </c>
      <c r="L4" s="31" t="str">
        <f>[1]!DatumGridConv(D4,E4,F4,A4)</f>
        <v>0  0 33.74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0  1 26.06</v>
      </c>
      <c r="H5" s="9">
        <f>[1]!GridPntScleFact(B5,C5,A5)</f>
        <v>1.0000279438535877</v>
      </c>
      <c r="I5" s="5" t="str">
        <f>[1]!datumlat(D5,E5,F5,A5)</f>
        <v>-27 50  4.94948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0  1 26.06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0  1 18.1</v>
      </c>
      <c r="H6" s="9">
        <f>[1]!GridPntScleFact(B6,C6,A6)</f>
        <v>1.0000310414971869</v>
      </c>
      <c r="I6" s="5" t="str">
        <f>[1]!datumlat(D6,E6,F6,A6)</f>
        <v>-28 38 38.5598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0  1 18.1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-0  3 42.62</v>
      </c>
      <c r="H7" s="9">
        <f>[1]!GridPntScleFact(B7,C7,A7)</f>
        <v>1.0000408723914107</v>
      </c>
      <c r="I7" s="5" t="str">
        <f>[1]!datumlat(D7,E7,F7,A7)</f>
        <v>-34  8 32.79757</v>
      </c>
      <c r="J7" s="5" t="str">
        <f>[1]!datumlong(D7,E7,F7,A7)</f>
        <v>118 12 23.359</v>
      </c>
      <c r="K7" s="10">
        <f>[1]!DatumPntScle(D7,E7,F7,A7)</f>
        <v>1.0000408723914107</v>
      </c>
      <c r="L7" s="11" t="str">
        <f>[1]!DatumGridConv(D7,E7,F7,A7)</f>
        <v>-0  3 42.62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0  0  7.68</v>
      </c>
      <c r="H8" s="9">
        <f>[1]!GridPntScleFact(B8,C8,A8)</f>
        <v>1.0000815324397301</v>
      </c>
      <c r="I8" s="5" t="str">
        <f>[1]!datumlat(D8,E8,F8,A8)</f>
        <v>-28  7 45.588</v>
      </c>
      <c r="J8" s="5" t="str">
        <f>[1]!datumlong(D8,E8,F8,A8)</f>
        <v>119  3 20.29468</v>
      </c>
      <c r="K8" s="10">
        <f>[1]!DatumPntScle(D8,E8,F8,A8)</f>
        <v>1.0000815324397301</v>
      </c>
      <c r="L8" s="11" t="str">
        <f>[1]!DatumGridConv(D8,E8,F8,A8)</f>
        <v>0  0  7.68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0  0  9.77</v>
      </c>
      <c r="H9" s="9">
        <f>[1]!GridPntScleFact(B9,C9,A9)</f>
        <v>1.0000279929193416</v>
      </c>
      <c r="I9" s="5" t="str">
        <f>[1]!datumlat(D9,E9,F9,A9)</f>
        <v>-31 52  6.52613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0  0  9.77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0  0  8.61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126  8  2.16604</v>
      </c>
      <c r="K10" s="10">
        <f>[1]!DatumPntScle(D10,E10,F10,A10)</f>
        <v>1.0000607634649323</v>
      </c>
      <c r="L10" s="11" t="str">
        <f>[1]!DatumGridConv(D10,E10,F10,A10)</f>
        <v>0  0  8.61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0  0 17.03</v>
      </c>
      <c r="H11" s="9">
        <f>[1]!GridPntScleFact(B11,C11,A11)</f>
        <v>1.0000190184897433</v>
      </c>
      <c r="I11" s="5" t="str">
        <f>[1]!datumlat(D11,E11,F11,A11)</f>
        <v>-32 25  3.47765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0  0 17.03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0  0 12.61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0  0 12.61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0  0 43.41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117 56  3.29824</v>
      </c>
      <c r="K13" s="10">
        <f>[1]!DatumPntScle(D13,E13,F13,A13)</f>
        <v>1.0001015641547761</v>
      </c>
      <c r="L13" s="11" t="str">
        <f>[1]!DatumGridConv(D13,E13,F13,A13)</f>
        <v>0  0 43.41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0  0 31.09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0  0 31.09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0  0 15.59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126  8  5.15231</v>
      </c>
      <c r="K15" s="10">
        <f>[1]!DatumPntScle(D15,E15,F15,A15)</f>
        <v>1.0000386145414313</v>
      </c>
      <c r="L15" s="11" t="str">
        <f>[1]!DatumGridConv(D15,E15,F15,A15)</f>
        <v>0  0 15.59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0  0 11.78</v>
      </c>
      <c r="H16" s="9">
        <f>[1]!GridPntScleFact(B16,C16,A16)</f>
        <v>1.0000546564435009</v>
      </c>
      <c r="I16" s="5" t="str">
        <f>[1]!datumlat(D16,E16,F16,A16)</f>
        <v>-26 46  3.33703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0  0 11.78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0  2 30.04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0  2 30.04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0  1 14.96</v>
      </c>
      <c r="H18" s="9">
        <f>[1]!GridPntScleFact(B18,C18,A18)</f>
        <v>1.0000423617304528</v>
      </c>
      <c r="I18" s="5" t="str">
        <f>[1]!datumlat(D18,E18,F18,A18)</f>
        <v>-29 14 46.6062</v>
      </c>
      <c r="J18" s="5" t="str">
        <f>[1]!datumlong(D18,E18,F18,A18)</f>
        <v>116 11 23.9977</v>
      </c>
      <c r="K18" s="10">
        <f>[1]!DatumPntScle(D18,E18,F18,A18)</f>
        <v>1.0000423617304526</v>
      </c>
      <c r="L18" s="11" t="str">
        <f>[1]!DatumGridConv(D18,E18,F18,A18)</f>
        <v>0  1 14.96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0  0  8.32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0  0  8.32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0  1 23.78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0  1 23.78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0  1 33.89</v>
      </c>
      <c r="H21" s="9">
        <f>[1]!GridPntScleFact(B21,C21,A21)</f>
        <v>1.0000415801834874</v>
      </c>
      <c r="I21" s="5" t="str">
        <f>[1]!datumlat(D21,E21,F21,A21)</f>
        <v>-32 18 52.8926</v>
      </c>
      <c r="J21" s="5" t="str">
        <f>[1]!datumlong(D21,E21,F21,A21)</f>
        <v>117  2 55.63352</v>
      </c>
      <c r="K21" s="10">
        <f>[1]!DatumPntScle(D21,E21,F21,A21)</f>
        <v>1.0000415801834874</v>
      </c>
      <c r="L21" s="11" t="str">
        <f>[1]!DatumGridConv(D21,E21,F21,A21)</f>
        <v>0  1 33.89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0  0 18.29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0  0 18.29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0  1  9.03</v>
      </c>
      <c r="H23" s="9">
        <f>[1]!GridPntScleFact(B23,C23,A23)</f>
        <v>1.0000431930529983</v>
      </c>
      <c r="I23" s="5" t="str">
        <f>[1]!datumlat(D23,E23,F23,A23)</f>
        <v>-32  5 51.42361</v>
      </c>
      <c r="J23" s="5" t="str">
        <f>[1]!datumlong(D23,E23,F23,A23)</f>
        <v>122  9  9.91948</v>
      </c>
      <c r="K23" s="10">
        <f>[1]!DatumPntScle(D23,E23,F23,A23)</f>
        <v>1.0000431930529985</v>
      </c>
      <c r="L23" s="11" t="str">
        <f>[1]!DatumGridConv(D23,E23,F23,A23)</f>
        <v>0  1  9.03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0  1 25.81</v>
      </c>
      <c r="H24" s="9">
        <f>[1]!GridPntScleFact(B24,C24,A24)</f>
        <v>1.0000625890560781</v>
      </c>
      <c r="I24" s="5" t="str">
        <f>[1]!datumlat(D24,E24,F24,A24)</f>
        <v>-31  5 46.6426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0  1 25.81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0  0 13.97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0  0 13.97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0  0 25.36</v>
      </c>
      <c r="H26" s="9">
        <f>[1]!GridPntScleFact(B26,C26,A26)</f>
        <v>1.0000704366525772</v>
      </c>
      <c r="I26" s="5" t="str">
        <f>[1]!datumlat(D26,E26,F26,A26)</f>
        <v>-28  5 58.19424</v>
      </c>
      <c r="J26" s="5" t="str">
        <f>[1]!datumlong(D26,E26,F26,A26)</f>
        <v>118 24  9.84254</v>
      </c>
      <c r="K26" s="10">
        <f>[1]!DatumPntScle(D26,E26,F26,A26)</f>
        <v>1.0000704366525774</v>
      </c>
      <c r="L26" s="11" t="str">
        <f>[1]!DatumGridConv(D26,E26,F26,A26)</f>
        <v>0  0 25.36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0  0 30.63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117  1 18.4624</v>
      </c>
      <c r="K27" s="10">
        <f>[1]!DatumPntScle(D27,E27,F27,A27)</f>
        <v>1.0000506516814704</v>
      </c>
      <c r="L27" s="11" t="str">
        <f>[1]!DatumGridConv(D27,E27,F27,A27)</f>
        <v>0  0 30.63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0  0  2.58</v>
      </c>
      <c r="H28" s="9">
        <f>[1]!GridPntScleFact(B28,C28,A28)</f>
        <v>1.0000666304759362</v>
      </c>
      <c r="I28" s="5" t="str">
        <f>[1]!datumlat(D28,E28,F28,A28)</f>
        <v>-22  9  4.90381</v>
      </c>
      <c r="J28" s="5" t="str">
        <f>[1]!datumlong(D28,E28,F28,A28)</f>
        <v>118 51 36.8509</v>
      </c>
      <c r="K28" s="10">
        <f>[1]!DatumPntScle(D28,E28,F28,A28)</f>
        <v>1.0000666304759362</v>
      </c>
      <c r="L28" s="11" t="str">
        <f>[1]!DatumGridConv(D28,E28,F28,A28)</f>
        <v>0  0  2.58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0  0  3.44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117 20  9.36373</v>
      </c>
      <c r="K29" s="10">
        <f>[1]!DatumPntScle(D29,E29,F29,A29)</f>
        <v>1.0000460408967591</v>
      </c>
      <c r="L29" s="11" t="str">
        <f>[1]!DatumGridConv(D29,E29,F29,A29)</f>
        <v>0  0  3.44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0  0  9.81</v>
      </c>
      <c r="H30" s="9">
        <f>[1]!GridPntScleFact(B30,C30,A30)</f>
        <v>1.0000350434028213</v>
      </c>
      <c r="I30" s="5" t="str">
        <f>[1]!datumlat(D30,E30,F30,A30)</f>
        <v>-30  1  8.31659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0  0  9.81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0  0  8.63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0  0  8.63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0  1  1.13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122 43  9.15838</v>
      </c>
      <c r="K32" s="10">
        <f>[1]!DatumPntScle(D32,E32,F32,A32)</f>
        <v>1.0000770730067521</v>
      </c>
      <c r="L32" s="11" t="str">
        <f>[1]!DatumGridConv(D32,E32,F32,A32)</f>
        <v>0  1  1.13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0  0 15.17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0  0 15.17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0  0 30.36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0  0 30.36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0  0 11.8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123  8  6.30312</v>
      </c>
      <c r="K35" s="10">
        <f>[1]!DatumPntScle(D35,E35,F35,A35)</f>
        <v>1.0000444842300309</v>
      </c>
      <c r="L35" s="11" t="str">
        <f>[1]!DatumGridConv(D35,E35,F35,A35)</f>
        <v>0  0 11.8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0  0  4.74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0  0  4.74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0  0 20.32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120  4 25.40723</v>
      </c>
      <c r="K37" s="10">
        <f>[1]!DatumPntScle(D37,E37,F37,A37)</f>
        <v>1.0000661673807731</v>
      </c>
      <c r="L37" s="11" t="str">
        <f>[1]!DatumGridConv(D37,E37,F37,A37)</f>
        <v>0  0 20.32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0  0 27.54</v>
      </c>
      <c r="H38" s="9">
        <f>[1]!GridPntScleFact(B38,C38,A38)</f>
        <v>1.0000040196130087</v>
      </c>
      <c r="I38" s="5" t="str">
        <f>[1]!datumlat(D38,E38,F38,A38)</f>
        <v>-17 33  6.35134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0  0 27.54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0  1 10.56</v>
      </c>
      <c r="H39" s="9">
        <f>[1]!GridPntScleFact(B39,C39,A39)</f>
        <v>1.0001001332712571</v>
      </c>
      <c r="I39" s="5" t="str">
        <f>[1]!datumlat(D39,E39,F39,A39)</f>
        <v>-24 53 27.9272</v>
      </c>
      <c r="J39" s="5" t="str">
        <f>[1]!datumlong(D39,E39,F39,A39)</f>
        <v>129  9 35.63118</v>
      </c>
      <c r="K39" s="10">
        <f>[1]!DatumPntScle(D39,E39,F39,A39)</f>
        <v>1.0001001332712571</v>
      </c>
      <c r="L39" s="11" t="str">
        <f>[1]!DatumGridConv(D39,E39,F39,A39)</f>
        <v>0  1 10.56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0  0 21.46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0  0 21.46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0  2 40.36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0  2 40.36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0  0  0.25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127 48  0.91724</v>
      </c>
      <c r="K42" s="10">
        <f>[1]!DatumPntScle(D42,E42,F42,A42)</f>
        <v>1.0000248700092309</v>
      </c>
      <c r="L42" s="11" t="str">
        <f>[1]!DatumGridConv(D42,E42,F42,A42)</f>
        <v>0  0  0.25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0  0  3.66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118 20  6.41126</v>
      </c>
      <c r="K43" s="10">
        <f>[1]!DatumPntScle(D43,E43,F43,A43)</f>
        <v>1.0000127103273524</v>
      </c>
      <c r="L43" s="11" t="str">
        <f>[1]!DatumGridConv(D43,E43,F43,A43)</f>
        <v>0  0  3.66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0  0 27.4</v>
      </c>
      <c r="H44" s="9">
        <f>[1]!GridPntScleFact(B44,C44,A44)</f>
        <v>1.0000415087852073</v>
      </c>
      <c r="I44" s="5" t="str">
        <f>[1]!datumlat(D44,E44,F44,A44)</f>
        <v>-21  7  8.0323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0  0 27.4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0  0 39.22</v>
      </c>
      <c r="H45" s="9">
        <f>[1]!GridPntScleFact(B45,C45,A45)</f>
        <v>1.0000627596196749</v>
      </c>
      <c r="I45" s="5" t="str">
        <f>[1]!datumlat(D45,E45,F45,A45)</f>
        <v>-16  3 26.89985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0  0 39.22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0  0 52</v>
      </c>
      <c r="H46" s="9">
        <f>[1]!GridPntScleFact(B46,C46,A46)</f>
        <v>1.0000059142349633</v>
      </c>
      <c r="I46" s="5" t="str">
        <f>[1]!datumlat(D46,E46,F46,A46)</f>
        <v>-31 37  7.30776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0  0 52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0  1 33.38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114  4 56.43833</v>
      </c>
      <c r="K47" s="10">
        <f>[1]!DatumPntScle(D47,E47,F47,A47)</f>
        <v>1.0000062476634577</v>
      </c>
      <c r="L47" s="11" t="str">
        <f>[1]!DatumGridConv(D47,E47,F47,A47)</f>
        <v>0  1 33.38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0  1 29.17</v>
      </c>
      <c r="H48" s="9">
        <f>[1]!GridPntScleFact(B48,C48,A48)</f>
        <v>1.000035821589051</v>
      </c>
      <c r="I48" s="5" t="str">
        <f>[1]!datumlat(D48,E48,F48,A48)</f>
        <v>-33 40  0.90757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0  1 29.17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0  0  2.08</v>
      </c>
      <c r="H49" s="9">
        <f>[1]!GridPntScleFact(B49,C49,A49)</f>
        <v>1.0000224704656107</v>
      </c>
      <c r="I49" s="5" t="str">
        <f>[1]!datumlat(D49,E49,F49,A49)</f>
        <v>-18 18  4.63993</v>
      </c>
      <c r="J49" s="5" t="str">
        <f>[1]!datumlong(D49,E49,F49,A49)</f>
        <v>125 34  6.60958</v>
      </c>
      <c r="K49" s="10">
        <f>[1]!DatumPntScle(D49,E49,F49,A49)</f>
        <v>1.0000224704656107</v>
      </c>
      <c r="L49" s="11" t="str">
        <f>[1]!DatumGridConv(D49,E49,F49,A49)</f>
        <v>0  0  2.08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0  1 23.01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0  1 23.01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0  0 16.56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0  0 16.56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56522.441761526446</v>
      </c>
      <c r="E52" s="4">
        <f>[1]!gridnorthing(B52,C52,A52)</f>
        <v>356807.8113556914</v>
      </c>
      <c r="F52" s="8">
        <f>[1]!gridzone(B52,C52,A52)</f>
        <v>1</v>
      </c>
      <c r="G52" s="8" t="str">
        <f>[1]!GridGridCon(B52,C52,A52)</f>
        <v>0  2 11.73</v>
      </c>
      <c r="H52" s="9">
        <f>[1]!GridPntScleFact(B52,C52,A52)</f>
        <v>1.0000437344037174</v>
      </c>
      <c r="I52" s="5" t="str">
        <f>[1]!datumlat(D52,E52,F52,A52)</f>
        <v>-32  0 38.4579</v>
      </c>
      <c r="J52" s="5" t="str">
        <f>[1]!datumlong(D52,E52,F52,A52)</f>
        <v>122 32  8.51006</v>
      </c>
      <c r="K52" s="10">
        <f>[1]!DatumPntScle(D52,E52,F52,A52)</f>
        <v>1.0000437344037172</v>
      </c>
      <c r="L52" s="11" t="str">
        <f>[1]!DatumGridConv(D52,E52,F52,A52)</f>
        <v>0  2 11.73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0  0 12.94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0  0 12.94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0  0 51.59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</v>
      </c>
      <c r="K54" s="10">
        <f>[1]!DatumPntScle(D54,E54,F54,A54)</f>
        <v>1.0000702676129214</v>
      </c>
      <c r="L54" s="11" t="str">
        <f>[1]!DatumGridConv(D54,E54,F54,A54)</f>
        <v>0  0 51.59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0  0 46.15</v>
      </c>
      <c r="H55" s="9">
        <f>[1]!GridPntScleFact(B55,C55,A55)</f>
        <v>1.0000203853283829</v>
      </c>
      <c r="I55" s="5" t="str">
        <f>[1]!datumlat(D55,E55,F55,A55)</f>
        <v>-25  2 23.07019</v>
      </c>
      <c r="J55" s="5" t="str">
        <f>[1]!datumlong(D55,E55,F55,A55)</f>
        <v>115 19 19.0362</v>
      </c>
      <c r="K55" s="10">
        <f>[1]!DatumPntScle(D55,E55,F55,A55)</f>
        <v>1.0000203853283829</v>
      </c>
      <c r="L55" s="11" t="str">
        <f>[1]!DatumGridConv(D55,E55,F55,A55)</f>
        <v>0  0 46.15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56280.469524665728</v>
      </c>
      <c r="E56" s="4">
        <f>[1]!gridnorthing(B56,C56,A56)</f>
        <v>199322.39697567746</v>
      </c>
      <c r="F56" s="8">
        <f>[1]!gridzone(B56,C56,A56)</f>
        <v>1</v>
      </c>
      <c r="G56" s="8" t="str">
        <f>[1]!GridGridCon(B56,C56,A56)</f>
        <v>0  1  2.79</v>
      </c>
      <c r="H56" s="9">
        <f>[1]!GridPntScleFact(B56,C56,A56)</f>
        <v>1.0000161974939052</v>
      </c>
      <c r="I56" s="5" t="str">
        <f>[1]!datumlat(D56,E56,F56,A56)</f>
        <v>-17 11  1.62913</v>
      </c>
      <c r="J56" s="5" t="str">
        <f>[1]!datumlong(D56,E56,F56,A56)</f>
        <v>124 36 32.53068</v>
      </c>
      <c r="K56" s="10">
        <f>[1]!DatumPntScle(D56,E56,F56,A56)</f>
        <v>1.0000161974939055</v>
      </c>
      <c r="L56" s="11" t="str">
        <f>[1]!DatumGridConv(D56,E56,F56,A56)</f>
        <v>0  1  2.79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0  0 20.04</v>
      </c>
      <c r="H57" s="9">
        <f>[1]!GridPntScleFact(B57,C57,A57)</f>
        <v>1.0000781965329362</v>
      </c>
      <c r="I57" s="5" t="str">
        <f>[1]!datumlat(D57,E57,F57,A57)</f>
        <v>-16  9 49.48679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0  0 20.04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0  0  2.3</v>
      </c>
      <c r="H58" s="9">
        <f>[1]!GridPntScleFact(B58,C58,A58)</f>
        <v>1.0000849302802231</v>
      </c>
      <c r="I58" s="5" t="str">
        <f>[1]!datumlat(D58,E58,F58,A58)</f>
        <v>-25 17 45.7102</v>
      </c>
      <c r="J58" s="5" t="str">
        <f>[1]!datumlong(D58,E58,F58,A58)</f>
        <v>127 53 22.3859</v>
      </c>
      <c r="K58" s="10">
        <f>[1]!DatumPntScle(D58,E58,F58,A58)</f>
        <v>1.0000849302802231</v>
      </c>
      <c r="L58" s="11" t="str">
        <f>[1]!DatumGridConv(D58,E58,F58,A58)</f>
        <v>0  0  2.3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0  0 25.25</v>
      </c>
      <c r="H59" s="9">
        <f>[1]!GridPntScleFact(B59,C59,A59)</f>
        <v>1.0000042840622576</v>
      </c>
      <c r="I59" s="5" t="str">
        <f>[1]!datumlat(D59,E59,F59,A59)</f>
        <v>-22 27 57.123</v>
      </c>
      <c r="J59" s="5" t="str">
        <f>[1]!datumlong(D59,E59,F59,A59)</f>
        <v>114 44  6.06995</v>
      </c>
      <c r="K59" s="10">
        <f>[1]!DatumPntScle(D59,E59,F59,A59)</f>
        <v>1.0000042840622574</v>
      </c>
      <c r="L59" s="11" t="str">
        <f>[1]!DatumGridConv(D59,E59,F59,A59)</f>
        <v>0  0 25.25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0  0 29.74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0  0 29.74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0  0  2.59</v>
      </c>
      <c r="H61" s="9">
        <f>[1]!GridPntScleFact(B61,C61,A61)</f>
        <v>1.0000476108578531</v>
      </c>
      <c r="I61" s="5" t="str">
        <f>[1]!datumlat(D61,E61,F61,A61)</f>
        <v>-16 53  1.89535</v>
      </c>
      <c r="J61" s="5" t="str">
        <f>[1]!datumlong(D61,E61,F61,A61)</f>
        <v>128 10  8.90094</v>
      </c>
      <c r="K61" s="10">
        <f>[1]!DatumPntScle(D61,E61,F61,A61)</f>
        <v>1.0000476108578531</v>
      </c>
      <c r="L61" s="11" t="str">
        <f>[1]!DatumGridConv(D61,E61,F61,A61)</f>
        <v>0  0  2.59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0  1  8.31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0  1  8.31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0  0 50.13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117  0 27.98435</v>
      </c>
      <c r="K63" s="10">
        <f>[1]!DatumPntScle(D63,E63,F63,A63)</f>
        <v>1.0000099617277001</v>
      </c>
      <c r="L63" s="11" t="str">
        <f>[1]!DatumGridConv(D63,E63,F63,A63)</f>
        <v>0  0 50.13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0  0 22.75</v>
      </c>
      <c r="H64" s="9">
        <f>[1]!GridPntScleFact(B64,C64,A64)</f>
        <v>1.0000462143827333</v>
      </c>
      <c r="I64" s="5" t="str">
        <f>[1]!datumlat(D64,E64,F64,A64)</f>
        <v>-33  6 14.75953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0  0 22.75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0  0 22.29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0  0 22.29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0  0 14.6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0  0 14.6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0  3  7.36</v>
      </c>
      <c r="H67" s="9">
        <f>[1]!GridPntScleFact(B67,C67,A67)</f>
        <v>1.0000288533630552</v>
      </c>
      <c r="I67" s="5" t="str">
        <f>[1]!datumlat(D67,E67,F67,A67)</f>
        <v>-32 13 30.6925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0  3  7.36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0  0 10.42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0  0 10.42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-0  0 14.8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120  6 33.41153</v>
      </c>
      <c r="K69" s="10">
        <f>[1]!DatumPntScle(D69,E69,F69,A69)</f>
        <v>1.0000086657610476</v>
      </c>
      <c r="L69" s="11" t="str">
        <f>[1]!DatumGridConv(D69,E69,F69,A69)</f>
        <v>-0  0 14.8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-0  0 13.17</v>
      </c>
      <c r="H70" s="9">
        <f>[1]!GridPntScleFact(B70,C70,A70)</f>
        <v>1.0000347251962187</v>
      </c>
      <c r="I70" s="5" t="str">
        <f>[1]!datumlat(D70,E70,F70,A70)</f>
        <v>-32  7  9.7559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-0  0 13.17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0  1 27.24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119  2 42.39438</v>
      </c>
      <c r="K71" s="10">
        <f>[1]!DatumPntScle(D71,E71,F71,A71)</f>
        <v>1.0000455615518979</v>
      </c>
      <c r="L71" s="11" t="str">
        <f>[1]!DatumGridConv(D71,E71,F71,A71)</f>
        <v>0  1 27.24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0  0  7.76</v>
      </c>
      <c r="H72" s="9">
        <f>[1]!GridPntScleFact(B72,C72,A72)</f>
        <v>1.000064067488821</v>
      </c>
      <c r="I72" s="5" t="str">
        <f>[1]!datumlat(D72,E72,F72,A72)</f>
        <v>-17  7 58.68926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0  0  7.76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0  0 19</v>
      </c>
      <c r="H73" s="9">
        <f>[1]!GridPntScleFact(B73,C73,A73)</f>
        <v>1.0000347293431024</v>
      </c>
      <c r="I73" s="5" t="str">
        <f>[1]!datumlat(D73,E73,F73,A73)</f>
        <v>-34  2 12.61903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0  0 19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0  1 10.48</v>
      </c>
      <c r="H74" s="9">
        <f>[1]!GridPntScleFact(B74,C74,A74)</f>
        <v>1.0000131503856082</v>
      </c>
      <c r="I74" s="5" t="str">
        <f>[1]!datumlat(D74,E74,F74,A74)</f>
        <v>-31 59  8.4259</v>
      </c>
      <c r="J74" s="5" t="str">
        <f>[1]!datumlong(D74,E74,F74,A74)</f>
        <v>125 45 13.046</v>
      </c>
      <c r="K74" s="10">
        <f>[1]!DatumPntScle(D74,E74,F74,A74)</f>
        <v>1.000013150385608</v>
      </c>
      <c r="L74" s="11" t="str">
        <f>[1]!DatumGridConv(D74,E74,F74,A74)</f>
        <v>0  1 10.48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0  2 38.88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</v>
      </c>
      <c r="K75" s="10">
        <f>[1]!DatumPntScle(D75,E75,F75,A75)</f>
        <v>1.0000726886633462</v>
      </c>
      <c r="L75" s="11" t="str">
        <f>[1]!DatumGridConv(D75,E75,F75,A75)</f>
        <v>0  2 38.88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0  0 43.36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0  0 43.36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0  1 47.36</v>
      </c>
      <c r="H77" s="9">
        <f>[1]!GridPntScleFact(B77,C77,A77)</f>
        <v>1.0000847010754357</v>
      </c>
      <c r="I77" s="5" t="str">
        <f>[1]!datumlat(D77,E77,F77,A77)</f>
        <v>-28  0 56.45999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0  1 47.36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0  1 58.88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118 26  9.23003</v>
      </c>
      <c r="K78" s="10">
        <f>[1]!DatumPntScle(D78,E78,F78,A78)</f>
        <v>1.0001139833056971</v>
      </c>
      <c r="L78" s="11" t="str">
        <f>[1]!DatumGridConv(D78,E78,F78,A78)</f>
        <v>0  1 58.88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0  1 26.8</v>
      </c>
      <c r="H79" s="9">
        <f>[1]!GridPntScleFact(B79,C79,A79)</f>
        <v>1.0000417197206071</v>
      </c>
      <c r="I79" s="5" t="str">
        <f>[1]!datumlat(D79,E79,F79,A79)</f>
        <v>-31 21  9.42163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0  1 26.8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0  1 21.7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119  3 14.40335</v>
      </c>
      <c r="K80" s="10">
        <f>[1]!DatumPntScle(D80,E80,F80,A80)</f>
        <v>1.0000917951899846</v>
      </c>
      <c r="L80" s="11" t="str">
        <f>[1]!DatumGridConv(D80,E80,F80,A80)</f>
        <v>0  1 21.7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0  1  0.5</v>
      </c>
      <c r="H81" s="9">
        <f>[1]!GridPntScleFact(B81,C81,A81)</f>
        <v>1.0000382763693603</v>
      </c>
      <c r="I81" s="5" t="str">
        <f>[1]!datumlat(D81,E81,F81,A81)</f>
        <v>-33 48 39.0285</v>
      </c>
      <c r="J81" s="5" t="str">
        <f>[1]!datumlong(D81,E81,F81,A81)</f>
        <v>117  4 48.73152</v>
      </c>
      <c r="K81" s="10">
        <f>[1]!DatumPntScle(D81,E81,F81,A81)</f>
        <v>1.0000382763693603</v>
      </c>
      <c r="L81" s="11" t="str">
        <f>[1]!DatumGridConv(D81,E81,F81,A81)</f>
        <v>0  1  0.5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0  0 57.46</v>
      </c>
      <c r="H82" s="9">
        <f>[1]!GridPntScleFact(B82,C82,A82)</f>
        <v>1.0000431471675744</v>
      </c>
      <c r="I82" s="5" t="str">
        <f>[1]!datumlat(D82,E82,F82,A82)</f>
        <v>-32 21  7.8516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0  0 57.46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0  2 13.75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0  2 13.75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0  0 43.91</v>
      </c>
      <c r="H84" s="9">
        <f>[1]!GridPntScleFact(B84,C84,A84)</f>
        <v>1.0000882865306071</v>
      </c>
      <c r="I84" s="5" t="str">
        <f>[1]!datumlat(D84,E84,F84,A84)</f>
        <v>-24 49  8.99202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0  0 43.91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58435.870266591664</v>
      </c>
      <c r="E85" s="4">
        <f>[1]!gridnorthing(B85,C85,A85)</f>
        <v>332808.93950515334</v>
      </c>
      <c r="F85" s="8">
        <f>[1]!gridzone(B85,C85,A85)</f>
        <v>1</v>
      </c>
      <c r="G85" s="8" t="str">
        <f>[1]!GridGridCon(B85,C85,A85)</f>
        <v>0  2 59.08</v>
      </c>
      <c r="H85" s="9">
        <f>[1]!GridPntScleFact(B85,C85,A85)</f>
        <v>1.0000436169713343</v>
      </c>
      <c r="I85" s="5" t="str">
        <f>[1]!datumlat(D85,E85,F85,A85)</f>
        <v>-33 18 32.77145</v>
      </c>
      <c r="J85" s="5" t="str">
        <f>[1]!datumlong(D85,E85,F85,A85)</f>
        <v>118 22 26.09404</v>
      </c>
      <c r="K85" s="10">
        <f>[1]!DatumPntScle(D85,E85,F85,A85)</f>
        <v>1.000043616971334</v>
      </c>
      <c r="L85" s="11" t="str">
        <f>[1]!DatumGridConv(D85,E85,F85,A85)</f>
        <v>0  2 59.08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0  1 34.12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0  1 34.12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0  0 48.32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0  0 48.32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0  1 53.29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122  9 55.09894</v>
      </c>
      <c r="K88" s="10">
        <f>[1]!DatumPntScle(D88,E88,F88,A88)</f>
        <v>1.0000653813295803</v>
      </c>
      <c r="L88" s="11" t="str">
        <f>[1]!DatumGridConv(D88,E88,F88,A88)</f>
        <v>0  1 53.29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0  1  2.14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0  1  2.14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0  0 46.58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0  0 46.58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0  1 15.41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123  5  8.35084</v>
      </c>
      <c r="K91" s="10">
        <f>[1]!DatumPntScle(D91,E91,F91,A91)</f>
        <v>1.0000086620534301</v>
      </c>
      <c r="L91" s="11" t="str">
        <f>[1]!DatumGridConv(D91,E91,F91,A91)</f>
        <v>0  1 15.41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0  0  0.63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0  0  0.63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0  0 22.53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127  2 42.64627</v>
      </c>
      <c r="K93" s="10">
        <f>[1]!DatumPntScle(D93,E93,F93,A93)</f>
        <v>1.0000009854806511</v>
      </c>
      <c r="L93" s="11" t="str">
        <f>[1]!DatumGridConv(D93,E93,F93,A93)</f>
        <v>0  0 22.53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-0  1  6.06</v>
      </c>
      <c r="H94" s="9">
        <f>[1]!GridPntScleFact(B94,C94,A94)</f>
        <v>1.0000497812579787</v>
      </c>
      <c r="I94" s="5" t="str">
        <f>[1]!datumlat(D94,E94,F94,A94)</f>
        <v>-32  4 20.27712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-0  1  6.06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0  0 32.53</v>
      </c>
      <c r="H95" s="9">
        <f>[1]!GridPntScleFact(B95,C95,A95)</f>
        <v>1.0000239662497845</v>
      </c>
      <c r="I95" s="5" t="str">
        <f>[1]!datumlat(D95,E95,F95,A95)</f>
        <v>-20 50 50.8015</v>
      </c>
      <c r="J95" s="5" t="str">
        <f>[1]!datumlong(D95,E95,F95,A95)</f>
        <v>119 52 31.3999</v>
      </c>
      <c r="K95" s="10">
        <f>[1]!DatumPntScle(D95,E95,F95,A95)</f>
        <v>1.0000239662497845</v>
      </c>
      <c r="L95" s="11" t="str">
        <f>[1]!DatumGridConv(D95,E95,F95,A95)</f>
        <v>0  0 32.53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56181.651210055606</v>
      </c>
      <c r="E96" s="4">
        <f>[1]!gridnorthing(B96,C96,A96)</f>
        <v>308019.22125471942</v>
      </c>
      <c r="F96" s="8">
        <f>[1]!gridzone(B96,C96,A96)</f>
        <v>1</v>
      </c>
      <c r="G96" s="8" t="str">
        <f>[1]!GridGridCon(B96,C96,A96)</f>
        <v>0  2  0.89</v>
      </c>
      <c r="H96" s="9">
        <f>[1]!GridPntScleFact(B96,C96,A96)</f>
        <v>1.0000628511082468</v>
      </c>
      <c r="I96" s="5" t="str">
        <f>[1]!datumlat(D96,E96,F96,A96)</f>
        <v>-31 11 15.03233</v>
      </c>
      <c r="J96" s="5" t="str">
        <f>[1]!datumlong(D96,E96,F96,A96)</f>
        <v>119 39 53.4587</v>
      </c>
      <c r="K96" s="10">
        <f>[1]!DatumPntScle(D96,E96,F96,A96)</f>
        <v>1.000062851108247</v>
      </c>
      <c r="L96" s="11" t="str">
        <f>[1]!DatumGridConv(D96,E96,F96,A96)</f>
        <v>0  2  0.89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0  0 35.19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124  6 56.4061</v>
      </c>
      <c r="K97" s="10">
        <f>[1]!DatumPntScle(D97,E97,F97,A97)</f>
        <v>1.0000201055860027</v>
      </c>
      <c r="L97" s="11" t="str">
        <f>[1]!DatumGridConv(D97,E97,F97,A97)</f>
        <v>0  0 35.19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0  1 32.98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0  1 32.98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0  2  1.84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121  8  6.20164</v>
      </c>
      <c r="K99" s="10">
        <f>[1]!DatumPntScle(D99,E99,F99,A99)</f>
        <v>1.0000654306778689</v>
      </c>
      <c r="L99" s="11" t="str">
        <f>[1]!DatumGridConv(D99,E99,F99,A99)</f>
        <v>0  2  1.84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0  2 42.73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0  2 42.73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0  2  1.55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117  7 35.71414</v>
      </c>
      <c r="K101" s="10">
        <f>[1]!DatumPntScle(D101,E101,F101,A101)</f>
        <v>1.0000297576627659</v>
      </c>
      <c r="L101" s="11" t="str">
        <f>[1]!DatumGridConv(D101,E101,F101,A101)</f>
        <v>0  2  1.55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0  1 33.47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0  1 33.47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0  1 49.26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0  1 49.26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0  0 49.86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0  0 49.86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0  0 47.5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125 11  7.54285</v>
      </c>
      <c r="K105" s="10">
        <f>[1]!DatumPntScle(D105,E105,F105,A105)</f>
        <v>1.0000499957425659</v>
      </c>
      <c r="L105" s="11" t="str">
        <f>[1]!DatumGridConv(D105,E105,F105,A105)</f>
        <v>0  0 47.5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0  1 49.37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0  1 49.37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0  1 22.99</v>
      </c>
      <c r="H107" s="9">
        <f>[1]!GridPntScleFact(B107,C107,A107)</f>
        <v>1.0000183524522641</v>
      </c>
      <c r="I107" s="5" t="str">
        <f>[1]!datumlat(D107,E107,F107,A107)</f>
        <v>-31  9 36.29599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0  1 22.99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0  0  2.88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128 18  8.51447</v>
      </c>
      <c r="K108" s="10">
        <f>[1]!DatumPntScle(D108,E108,F108,A108)</f>
        <v>1.0000609607591415</v>
      </c>
      <c r="L108" s="11" t="str">
        <f>[1]!DatumGridConv(D108,E108,F108,A108)</f>
        <v>0  0  2.88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0  0 27.46</v>
      </c>
      <c r="H109" s="9">
        <f>[1]!GridPntScleFact(B109,C109,A109)</f>
        <v>1.0000677340219832</v>
      </c>
      <c r="I109" s="5" t="str">
        <f>[1]!datumlat(D109,E109,F109,A109)</f>
        <v>-27  6  8.04953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0  0 27.46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56609.77886966223</v>
      </c>
      <c r="E110" s="4">
        <f>[1]!gridnorthing(B110,C110,A110)</f>
        <v>323145.64897093782</v>
      </c>
      <c r="F110" s="8">
        <f>[1]!gridzone(B110,C110,A110)</f>
        <v>1</v>
      </c>
      <c r="G110" s="8" t="str">
        <f>[1]!GridGridCon(B110,C110,A110)</f>
        <v>0  2  7.66</v>
      </c>
      <c r="H110" s="9">
        <f>[1]!GridPntScleFact(B110,C110,A110)</f>
        <v>1.0000501886659516</v>
      </c>
      <c r="I110" s="5" t="str">
        <f>[1]!datumlat(D110,E110,F110,A110)</f>
        <v>-30 52 15.93646</v>
      </c>
      <c r="J110" s="5" t="str">
        <f>[1]!datumlong(D110,E110,F110,A110)</f>
        <v>118 21  8.80686</v>
      </c>
      <c r="K110" s="10">
        <f>[1]!DatumPntScle(D110,E110,F110,A110)</f>
        <v>1.0000501886659516</v>
      </c>
      <c r="L110" s="11" t="str">
        <f>[1]!DatumGridConv(D110,E110,F110,A110)</f>
        <v>0  2  7.66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0  0  9.4</v>
      </c>
      <c r="H111" s="9">
        <f>[1]!GridPntScleFact(B111,C111,A111)</f>
        <v>1.0000656862624406</v>
      </c>
      <c r="I111" s="5" t="str">
        <f>[1]!datumlat(D111,E111,F111,A111)</f>
        <v>-22 12 55.9035</v>
      </c>
      <c r="J111" s="5" t="str">
        <f>[1]!datumlong(D111,E111,F111,A111)</f>
        <v>118 32 12.8625</v>
      </c>
      <c r="K111" s="10">
        <f>[1]!DatumPntScle(D111,E111,F111,A111)</f>
        <v>1.0000656862624406</v>
      </c>
      <c r="L111" s="11" t="str">
        <f>[1]!DatumGridConv(D111,E111,F111,A111)</f>
        <v>0  0  9.4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0  0 22.86</v>
      </c>
      <c r="H112" s="9">
        <f>[1]!GridPntScleFact(B112,C112,A112)</f>
        <v>0.99999900587084001</v>
      </c>
      <c r="I112" s="5" t="str">
        <f>[1]!datumlat(D112,E112,F112,A112)</f>
        <v>-31 57  3.48311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0  0 22.86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0  0 16.96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0  0 16.96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0  1 22.07</v>
      </c>
      <c r="H114" s="9">
        <f>[1]!GridPntScleFact(B114,C114,A114)</f>
        <v>1.0000379332688594</v>
      </c>
      <c r="I114" s="5" t="str">
        <f>[1]!datumlat(D114,E114,F114,A114)</f>
        <v>-27  7 32.6874</v>
      </c>
      <c r="J114" s="5" t="str">
        <f>[1]!datumlong(D114,E114,F114,A114)</f>
        <v>116  0 30.00964</v>
      </c>
      <c r="K114" s="10">
        <f>[1]!DatumPntScle(D114,E114,F114,A114)</f>
        <v>1.0000379332688594</v>
      </c>
      <c r="L114" s="11" t="str">
        <f>[1]!DatumGridConv(D114,E114,F114,A114)</f>
        <v>0  1 22.07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0  1 40.67</v>
      </c>
      <c r="H115" s="9">
        <f>[1]!GridPntScleFact(B115,C115,A115)</f>
        <v>1.0000675530576797</v>
      </c>
      <c r="I115" s="5" t="str">
        <f>[1]!datumlat(D115,E115,F115,A115)</f>
        <v>-26 55 31.0179</v>
      </c>
      <c r="J115" s="5" t="str">
        <f>[1]!datumlong(D115,E115,F115,A115)</f>
        <v>118 18 47.3162</v>
      </c>
      <c r="K115" s="10">
        <f>[1]!DatumPntScle(D115,E115,F115,A115)</f>
        <v>1.0000675530576795</v>
      </c>
      <c r="L115" s="11" t="str">
        <f>[1]!DatumGridConv(D115,E115,F115,A115)</f>
        <v>0  1 40.67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0  0  5.07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0  0  5.07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0  0 58.1</v>
      </c>
      <c r="H117" s="9">
        <f>[1]!GridPntScleFact(B117,C117,A117)</f>
        <v>1.0000268320248733</v>
      </c>
      <c r="I117" s="5" t="str">
        <f>[1]!datumlat(D117,E117,F117,A117)</f>
        <v>-17  5 41.3169</v>
      </c>
      <c r="J117" s="5" t="str">
        <f>[1]!datumlong(D117,E117,F117,A117)</f>
        <v>125  0 55.64894</v>
      </c>
      <c r="K117" s="10">
        <f>[1]!DatumPntScle(D117,E117,F117,A117)</f>
        <v>1.0000268320248731</v>
      </c>
      <c r="L117" s="11" t="str">
        <f>[1]!DatumGridConv(D117,E117,F117,A117)</f>
        <v>0  0 58.1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0  0 50.4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0  0 50.4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0  0 17.15</v>
      </c>
      <c r="H119" s="9">
        <f>[1]!GridPntScleFact(B119,C119,A119)</f>
        <v>1.0000444781781805</v>
      </c>
      <c r="I119" s="5" t="str">
        <f>[1]!datumlat(D119,E119,F119,A119)</f>
        <v>-33  5 30.48749</v>
      </c>
      <c r="J119" s="5" t="str">
        <f>[1]!datumlong(D119,E119,F119,A119)</f>
        <v>119  3 31.41198</v>
      </c>
      <c r="K119" s="10">
        <f>[1]!DatumPntScle(D119,E119,F119,A119)</f>
        <v>1.0000444781781805</v>
      </c>
      <c r="L119" s="11" t="str">
        <f>[1]!DatumGridConv(D119,E119,F119,A119)</f>
        <v>0  0 17.15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0  0  7.72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0  0  7.72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0  0 10.1</v>
      </c>
      <c r="H121" s="9">
        <f>[1]!GridPntScleFact(B121,C121,A121)</f>
        <v>1.0000612873768389</v>
      </c>
      <c r="I121" s="5" t="str">
        <f>[1]!datumlat(D121,E121,F121,A121)</f>
        <v>-22  1 17.70226</v>
      </c>
      <c r="J121" s="5" t="str">
        <f>[1]!datumlong(D121,E121,F121,A121)</f>
        <v>120  6 26.94686</v>
      </c>
      <c r="K121" s="10">
        <f>[1]!DatumPntScle(D121,E121,F121,A121)</f>
        <v>1.0000612873768389</v>
      </c>
      <c r="L121" s="11" t="str">
        <f>[1]!DatumGridConv(D121,E121,F121,A121)</f>
        <v>0  0 10.1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0  0  6.11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121  5  2.75611</v>
      </c>
      <c r="K122" s="10">
        <f>[1]!DatumPntScle(D122,E122,F122,A122)</f>
        <v>1.0000372228775942</v>
      </c>
      <c r="L122" s="11" t="str">
        <f>[1]!DatumGridConv(D122,E122,F122,A122)</f>
        <v>0  0  6.11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0  0 32.4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0  0 32.4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0  0 29.47</v>
      </c>
      <c r="H124" s="9">
        <f>[1]!GridPntScleFact(B124,C124,A124)</f>
        <v>1.0001095716908186</v>
      </c>
      <c r="I124" s="5" t="str">
        <f>[1]!datumlat(D124,E124,F124,A124)</f>
        <v>-23  7 43.7677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0  0 29.47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0  0 35.13</v>
      </c>
      <c r="H125" s="9">
        <f>[1]!GridPntScleFact(B125,C125,A125)</f>
        <v>1.0000084199835366</v>
      </c>
      <c r="I125" s="5" t="str">
        <f>[1]!datumlat(D125,E125,F125,A125)</f>
        <v>-20  0 39.62329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0  0 35.13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0  0  0.16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0  0  0.16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0  0 27.41</v>
      </c>
      <c r="H127" s="9">
        <f>[1]!GridPntScleFact(B127,C127,A127)</f>
        <v>1.00003345930245</v>
      </c>
      <c r="I127" s="5" t="str">
        <f>[1]!datumlat(D127,E127,F127,A127)</f>
        <v>-34  8  9.63913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0  0 27.41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0  0 24.17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</v>
      </c>
      <c r="K128" s="10">
        <f>[1]!DatumPntScle(D128,E128,F128,A128)</f>
        <v>1.0000432332916447</v>
      </c>
      <c r="L128" s="11" t="str">
        <f>[1]!DatumGridConv(D128,E128,F128,A128)</f>
        <v>0  0 24.17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0  0 12.3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0  0 12.3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0  1 30.84</v>
      </c>
      <c r="H130" s="9">
        <f>[1]!GridPntScleFact(B130,C130,A130)</f>
        <v>1.0000296980837671</v>
      </c>
      <c r="I130" s="5" t="str">
        <f>[1]!datumlat(D130,E130,F130,A130)</f>
        <v>-17 57 53.3705</v>
      </c>
      <c r="J130" s="5" t="str">
        <f>[1]!datumlong(D130,E130,F130,A130)</f>
        <v>125  9 54.51962</v>
      </c>
      <c r="K130" s="10">
        <f>[1]!DatumPntScle(D130,E130,F130,A130)</f>
        <v>1.0000296980837668</v>
      </c>
      <c r="L130" s="11" t="str">
        <f>[1]!DatumGridConv(D130,E130,F130,A130)</f>
        <v>0  1 30.84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0  1  1.93</v>
      </c>
      <c r="H131" s="9">
        <f>[1]!GridPntScleFact(B131,C131,A131)</f>
        <v>1.0000320041648749</v>
      </c>
      <c r="I131" s="5" t="str">
        <f>[1]!datumlat(D131,E131,F131,A131)</f>
        <v>-33 24  3.37097</v>
      </c>
      <c r="J131" s="5" t="str">
        <f>[1]!datumlong(D131,E131,F131,A131)</f>
        <v>120  3 52.50546</v>
      </c>
      <c r="K131" s="10">
        <f>[1]!DatumPntScle(D131,E131,F131,A131)</f>
        <v>1.0000320041648751</v>
      </c>
      <c r="L131" s="11" t="str">
        <f>[1]!DatumGridConv(D131,E131,F131,A131)</f>
        <v>0  1  1.93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0  0 41.76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0  0 41.76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0  0 20.62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121 19  2.01148</v>
      </c>
      <c r="K133" s="10">
        <f>[1]!DatumPntScle(D133,E133,F133,A133)</f>
        <v>1.0000049004368854</v>
      </c>
      <c r="L133" s="11" t="str">
        <f>[1]!DatumGridConv(D133,E133,F133,A133)</f>
        <v>0  0 20.62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0  0 56.77</v>
      </c>
      <c r="H134" s="9">
        <f>[1]!GridPntScleFact(B134,C134,A134)</f>
        <v>1.0000279006972135</v>
      </c>
      <c r="I134" s="5" t="str">
        <f>[1]!datumlat(D134,E134,F134,A134)</f>
        <v>-32 56  8.52893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0  0 56.77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0  0  3.78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119  3  7.28708</v>
      </c>
      <c r="K135" s="10">
        <f>[1]!DatumPntScle(D135,E135,F135,A135)</f>
        <v>1.0000528004585578</v>
      </c>
      <c r="L135" s="11" t="str">
        <f>[1]!DatumGridConv(D135,E135,F135,A135)</f>
        <v>0  0  3.78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0  0 30.71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</v>
      </c>
      <c r="K136" s="10">
        <f>[1]!DatumPntScle(D136,E136,F136,A136)</f>
        <v>1.0000077832233805</v>
      </c>
      <c r="L136" s="11" t="str">
        <f>[1]!DatumGridConv(D136,E136,F136,A136)</f>
        <v>0  0 30.71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0  0  2.06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119 15  5.84539</v>
      </c>
      <c r="K137" s="10">
        <f>[1]!DatumPntScle(D137,E137,F137,A137)</f>
        <v>1.000010840353978</v>
      </c>
      <c r="L137" s="11" t="str">
        <f>[1]!DatumGridConv(D137,E137,F137,A137)</f>
        <v>0  0  2.06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0  0 50.58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0  0 50.58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53325.376685622286</v>
      </c>
      <c r="E139" s="4">
        <f>[1]!gridnorthing(B139,C139,A139)</f>
        <v>353515.55244591087</v>
      </c>
      <c r="F139" s="8">
        <f>[1]!gridzone(B139,C139,A139)</f>
        <v>1</v>
      </c>
      <c r="G139" s="8" t="str">
        <f>[1]!GridGridCon(B139,C139,A139)</f>
        <v>0  1 11.55</v>
      </c>
      <c r="H139" s="9">
        <f>[1]!GridPntScleFact(B139,C139,A139)</f>
        <v>1.0000068962666604</v>
      </c>
      <c r="I139" s="5" t="str">
        <f>[1]!datumlat(D139,E139,F139,A139)</f>
        <v>-33 39 52.54675</v>
      </c>
      <c r="J139" s="5" t="str">
        <f>[1]!datumlong(D139,E139,F139,A139)</f>
        <v>121 13  9.0755</v>
      </c>
      <c r="K139" s="10">
        <f>[1]!DatumPntScle(D139,E139,F139,A139)</f>
        <v>1.0000068962666602</v>
      </c>
      <c r="L139" s="11" t="str">
        <f>[1]!DatumGridConv(D139,E139,F139,A139)</f>
        <v>0  1 11.55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0  1 22.22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0  1 22.22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0  1 42.12</v>
      </c>
      <c r="H141" s="9">
        <f>[1]!GridPntScleFact(B141,C141,A141)</f>
        <v>1.0000616056586271</v>
      </c>
      <c r="I141" s="5" t="str">
        <f>[1]!datumlat(D141,E141,F141,A141)</f>
        <v>-27 44  4.73622</v>
      </c>
      <c r="J141" s="5" t="str">
        <f>[1]!datumlong(D141,E141,F141,A141)</f>
        <v>124  5 27.42497</v>
      </c>
      <c r="K141" s="10">
        <f>[1]!DatumPntScle(D141,E141,F141,A141)</f>
        <v>1.0000616056586271</v>
      </c>
      <c r="L141" s="11" t="str">
        <f>[1]!DatumGridConv(D141,E141,F141,A141)</f>
        <v>0  1 42.12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0  1 56.79</v>
      </c>
      <c r="H142" s="9">
        <f>[1]!GridPntScleFact(B142,C142,A142)</f>
        <v>1.000051110260725</v>
      </c>
      <c r="I142" s="5" t="str">
        <f>[1]!datumlat(D142,E142,F142,A142)</f>
        <v>-33 46  5.13833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0  1 56.79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0  1 39.27</v>
      </c>
      <c r="H143" s="9">
        <f>[1]!GridPntScleFact(B143,C143,A143)</f>
        <v>1.0000681313815005</v>
      </c>
      <c r="I143" s="5" t="str">
        <f>[1]!datumlat(D143,E143,F143,A143)</f>
        <v>-27 27  7.9529</v>
      </c>
      <c r="J143" s="5" t="str">
        <f>[1]!datumlong(D143,E143,F143,A143)</f>
        <v>124 45  7.32251</v>
      </c>
      <c r="K143" s="10">
        <f>[1]!DatumPntScle(D143,E143,F143,A143)</f>
        <v>1.0000681313815007</v>
      </c>
      <c r="L143" s="11" t="str">
        <f>[1]!DatumGridConv(D143,E143,F143,A143)</f>
        <v>0  1 39.27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0  0 46.85</v>
      </c>
      <c r="H144" s="9">
        <f>[1]!GridPntScleFact(B144,C144,A144)</f>
        <v>1.0001011823103072</v>
      </c>
      <c r="I144" s="5" t="str">
        <f>[1]!datumlat(D144,E144,F144,A144)</f>
        <v>-22 25 33.1252</v>
      </c>
      <c r="J144" s="5" t="str">
        <f>[1]!datumlong(D144,E144,F144,A144)</f>
        <v>117 46  2.79714</v>
      </c>
      <c r="K144" s="10">
        <f>[1]!DatumPntScle(D144,E144,F144,A144)</f>
        <v>1.0001011823103074</v>
      </c>
      <c r="L144" s="11" t="str">
        <f>[1]!DatumGridConv(D144,E144,F144,A144)</f>
        <v>0  0 46.85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0  0  1.87</v>
      </c>
      <c r="H145" s="9">
        <f>[1]!GridPntScleFact(B145,C145,A145)</f>
        <v>1.0000253002397084</v>
      </c>
      <c r="I145" s="5" t="str">
        <f>[1]!datumlat(D145,E145,F145,A145)</f>
        <v>-22 34 57.3713</v>
      </c>
      <c r="J145" s="5" t="str">
        <f>[1]!datumlong(D145,E145,F145,A145)</f>
        <v>115 56  4.87727</v>
      </c>
      <c r="K145" s="10">
        <f>[1]!DatumPntScle(D145,E145,F145,A145)</f>
        <v>1.0000253002397084</v>
      </c>
      <c r="L145" s="11" t="str">
        <f>[1]!DatumGridConv(D145,E145,F145,A145)</f>
        <v>0  0  1.87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0  0 18.6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</v>
      </c>
      <c r="K146" s="10">
        <f>[1]!DatumPntScle(D146,E146,F146,A146)</f>
        <v>1.0000155602668936</v>
      </c>
      <c r="L146" s="11" t="str">
        <f>[1]!DatumGridConv(D146,E146,F146,A146)</f>
        <v>0  0 18.6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0  0 40.55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0  0 40.55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0  0 34.51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0  0 34.51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0  2 19.44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116 45  3.4591</v>
      </c>
      <c r="K149" s="10">
        <f>[1]!DatumPntScle(D149,E149,F149,A149)</f>
        <v>1.0000019001835063</v>
      </c>
      <c r="L149" s="11" t="str">
        <f>[1]!DatumGridConv(D149,E149,F149,A149)</f>
        <v>0  2 19.44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0  0 17.77</v>
      </c>
      <c r="H150" s="9">
        <f>[1]!GridPntScleFact(B150,C150,A150)</f>
        <v>1.0000813460787663</v>
      </c>
      <c r="I150" s="5" t="str">
        <f>[1]!datumlat(D150,E150,F150,A150)</f>
        <v>-25 43 17.6309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0  0 17.77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0  0 20.8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</v>
      </c>
      <c r="K151" s="10">
        <f>[1]!DatumPntScle(D151,E151,F151,A151)</f>
        <v>1.000093253635195</v>
      </c>
      <c r="L151" s="11" t="str">
        <f>[1]!DatumGridConv(D151,E151,F151,A151)</f>
        <v>0  0 20.8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0  1 42.14</v>
      </c>
      <c r="H152" s="9">
        <f>[1]!GridPntScleFact(B152,C152,A152)</f>
        <v>1.0000835860658543</v>
      </c>
      <c r="I152" s="5" t="str">
        <f>[1]!datumlat(D152,E152,F152,A152)</f>
        <v>-26  4 48.71111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0  1 42.14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0  0  3.36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115 19  6.74018</v>
      </c>
      <c r="K153" s="10">
        <f>[1]!DatumPntScle(D153,E153,F153,A153)</f>
        <v>1.0000205804029179</v>
      </c>
      <c r="L153" s="11" t="str">
        <f>[1]!DatumGridConv(D153,E153,F153,A153)</f>
        <v>0  0  3.36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50771.955148306115</v>
      </c>
      <c r="E154" s="4">
        <f>[1]!gridnorthing(B154,C154,A154)</f>
        <v>338323.54928529402</v>
      </c>
      <c r="F154" s="8">
        <f>[1]!gridzone(B154,C154,A154)</f>
        <v>1</v>
      </c>
      <c r="G154" s="8" t="str">
        <f>[1]!GridGridCon(B154,C154,A154)</f>
        <v>0  0  9.48</v>
      </c>
      <c r="H154" s="9">
        <f>[1]!GridPntScleFact(B154,C154,A154)</f>
        <v>1.0000169773610914</v>
      </c>
      <c r="I154" s="5" t="str">
        <f>[1]!datumlat(D154,E154,F154,A154)</f>
        <v>-20 48 22.87998</v>
      </c>
      <c r="J154" s="5" t="str">
        <f>[1]!datumlong(D154,E154,F154,A154)</f>
        <v>119 39 26.6944</v>
      </c>
      <c r="K154" s="10">
        <f>[1]!DatumPntScle(D154,E154,F154,A154)</f>
        <v>1.0000169773610914</v>
      </c>
      <c r="L154" s="11" t="str">
        <f>[1]!DatumGridConv(D154,E154,F154,A154)</f>
        <v>0  0  9.48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0  2 41.61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121  5 40.18078</v>
      </c>
      <c r="K155" s="10">
        <f>[1]!DatumPntScle(D155,E155,F155,A155)</f>
        <v>1.00006707861257</v>
      </c>
      <c r="L155" s="11" t="str">
        <f>[1]!DatumGridConv(D155,E155,F155,A155)</f>
        <v>0  2 41.61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0  0 26.75</v>
      </c>
      <c r="H156" s="9">
        <f>[1]!GridPntScleFact(B156,C156,A156)</f>
        <v>1.000103717236106</v>
      </c>
      <c r="I156" s="5" t="str">
        <f>[1]!datumlat(D156,E156,F156,A156)</f>
        <v>-22 56  2.54789</v>
      </c>
      <c r="J156" s="5" t="str">
        <f>[1]!datumlong(D156,E156,F156,A156)</f>
        <v>119  2  3.64027</v>
      </c>
      <c r="K156" s="10">
        <f>[1]!DatumPntScle(D156,E156,F156,A156)</f>
        <v>1.0001037172361062</v>
      </c>
      <c r="L156" s="11" t="str">
        <f>[1]!DatumGridConv(D156,E156,F156,A156)</f>
        <v>0  0 26.75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0  0 28.91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0  0 28.91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0  1 11.25</v>
      </c>
      <c r="H158" s="9">
        <f>[1]!GridPntScleFact(B158,C158,A158)</f>
        <v>1.0000049751469986</v>
      </c>
      <c r="I158" s="5" t="str">
        <f>[1]!datumlat(D158,E158,F158,A158)</f>
        <v>-20 49  0.45343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0  1 11.25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0  0 23.53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117 35  6.05533</v>
      </c>
      <c r="K159" s="10">
        <f>[1]!DatumPntScle(D159,E159,F159,A159)</f>
        <v>1.0000016150339683</v>
      </c>
      <c r="L159" s="11" t="str">
        <f>[1]!DatumGridConv(D159,E159,F159,A159)</f>
        <v>0  0 23.53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0  1 22.73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123 24  7.42342</v>
      </c>
      <c r="K160" s="10">
        <f>[1]!DatumPntScle(D160,E160,F160,A160)</f>
        <v>1.0000673468800567</v>
      </c>
      <c r="L160" s="11" t="str">
        <f>[1]!DatumGridConv(D160,E160,F160,A160)</f>
        <v>0  1 22.73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0  1 49.42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120 16  4.06308</v>
      </c>
      <c r="K161" s="10">
        <f>[1]!DatumPntScle(D161,E161,F161,A161)</f>
        <v>1.0000771423923704</v>
      </c>
      <c r="L161" s="11" t="str">
        <f>[1]!DatumGridConv(D161,E161,F161,A161)</f>
        <v>0  1 49.42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-0  0 18.37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118  3 11.48508</v>
      </c>
      <c r="K162" s="10">
        <f>[1]!DatumPntScle(D162,E162,F162,A162)</f>
        <v>1.0000822038347004</v>
      </c>
      <c r="L162" s="11" t="str">
        <f>[1]!DatumGridConv(D162,E162,F162,A162)</f>
        <v>-0  0 18.37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0  0  9.61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0  0  9.61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0  0 57.62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0  0 57.62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0  1 24.51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0  1 24.51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0  1 11.78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116 33  5.91037</v>
      </c>
      <c r="K166" s="10">
        <f>[1]!DatumPntScle(D166,E166,F166,A166)</f>
        <v>1.0000383676284943</v>
      </c>
      <c r="L166" s="11" t="str">
        <f>[1]!DatumGridConv(D166,E166,F166,A166)</f>
        <v>0  1 11.78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-0  0 13.01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-0  0 13.01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0  1 17.98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0  1 17.98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0  0 46.59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115  7  0.45178</v>
      </c>
      <c r="K169" s="10">
        <f>[1]!DatumPntScle(D169,E169,F169,A169)</f>
        <v>1.0000141458362037</v>
      </c>
      <c r="L169" s="11" t="str">
        <f>[1]!DatumGridConv(D169,E169,F169,A169)</f>
        <v>0  0 46.59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0  1 51.13</v>
      </c>
      <c r="H170" s="9">
        <f>[1]!GridPntScleFact(B170,C170,A170)</f>
        <v>1.0000065782439174</v>
      </c>
      <c r="I170" s="5" t="str">
        <f>[1]!datumlat(D170,E170,F170,A170)</f>
        <v>-26  5 46.38052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0  1 51.13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0  0 14.75</v>
      </c>
      <c r="H171" s="9">
        <f>[1]!GridPntScleFact(B171,C171,A171)</f>
        <v>1.0000395470118586</v>
      </c>
      <c r="I171" s="5" t="str">
        <f>[1]!datumlat(D171,E171,F171,A171)</f>
        <v>-21 15  0.39269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0  0 14.75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0  0 26.71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0  0 26.71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0  0 38.16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0  0 38.16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0  0 37.22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0  0 37.22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0  0 10.88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0  0 10.88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0  0  4.09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115 15  8.53538</v>
      </c>
      <c r="K176" s="10">
        <f>[1]!DatumPntScle(D176,E176,F176,A176)</f>
        <v>1.0000308006626262</v>
      </c>
      <c r="L176" s="11" t="str">
        <f>[1]!DatumGridConv(D176,E176,F176,A176)</f>
        <v>0  0  4.09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-0  1 50.66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-0  1 50.66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0  0 47.46</v>
      </c>
      <c r="H178" s="9">
        <f>[1]!GridPntScleFact(B178,C178,A178)</f>
        <v>1.0000816231100569</v>
      </c>
      <c r="I178" s="5" t="str">
        <f>[1]!datumlat(D178,E178,F178,A178)</f>
        <v>-28  7 47.3322</v>
      </c>
      <c r="J178" s="5" t="str">
        <f>[1]!datumlong(D178,E178,F178,A178)</f>
        <v>119  4 44.66424</v>
      </c>
      <c r="K178" s="10">
        <f>[1]!DatumPntScle(D178,E178,F178,A178)</f>
        <v>1.0000816231100569</v>
      </c>
      <c r="L178" s="11" t="str">
        <f>[1]!DatumGridConv(D178,E178,F178,A178)</f>
        <v>0  0 47.46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0  0  3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0  0  3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0  0 12.51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126  8 10.80996</v>
      </c>
      <c r="K180" s="10">
        <f>[1]!DatumPntScle(D180,E180,F180,A180)</f>
        <v>1.0000607672902326</v>
      </c>
      <c r="L180" s="11" t="str">
        <f>[1]!DatumGridConv(D180,E180,F180,A180)</f>
        <v>0  0 12.51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0  1 47.46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0  1 47.46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0  1 42.61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115 29  4.99398</v>
      </c>
      <c r="K182" s="10">
        <f>[1]!DatumPntScle(D182,E182,F182,A182)</f>
        <v>0.99999619975016074</v>
      </c>
      <c r="L182" s="11" t="str">
        <f>[1]!DatumGridConv(D182,E182,F182,A182)</f>
        <v>0  1 42.61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0  2 11.01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0  2 11.01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0  0 59.48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0  0 59.48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0  0  9.58</v>
      </c>
      <c r="H185" s="9">
        <f>[1]!GridPntScleFact(B185,C185,A185)</f>
        <v>1.0000385992555367</v>
      </c>
      <c r="I185" s="5" t="str">
        <f>[1]!datumlat(D185,E185,F185,A185)</f>
        <v>-18 53 39.754</v>
      </c>
      <c r="J185" s="5" t="str">
        <f>[1]!datumlong(D185,E185,F185,A185)</f>
        <v>126  7 46.57206</v>
      </c>
      <c r="K185" s="10">
        <f>[1]!DatumPntScle(D185,E185,F185,A185)</f>
        <v>1.0000385992555367</v>
      </c>
      <c r="L185" s="11" t="str">
        <f>[1]!DatumGridConv(D185,E185,F185,A185)</f>
        <v>0  0  9.58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0  0 14.46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0  0 14.46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0  0 50.14</v>
      </c>
      <c r="H187" s="9">
        <f>[1]!GridPntScleFact(B187,C187,A187)</f>
        <v>1.0000639512965224</v>
      </c>
      <c r="I187" s="5" t="str">
        <f>[1]!datumlat(D187,E187,F187,A187)</f>
        <v>-31  8 41.39783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0  0 50.14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0  0  1.79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116  8 54.21768</v>
      </c>
      <c r="K188" s="10">
        <f>[1]!DatumPntScle(D188,E188,F188,A188)</f>
        <v>1.0000421501201657</v>
      </c>
      <c r="L188" s="11" t="str">
        <f>[1]!DatumGridConv(D188,E188,F188,A188)</f>
        <v>0  0  1.79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0  2  4.42</v>
      </c>
      <c r="H189" s="9">
        <f>[1]!GridPntScleFact(B189,C189,A189)</f>
        <v>1.000011391238858</v>
      </c>
      <c r="I189" s="5" t="str">
        <f>[1]!datumlat(D189,E189,F189,A189)</f>
        <v>-34 21  4.7309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0  2  4.42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0  0 17.97</v>
      </c>
      <c r="H190" s="9">
        <f>[1]!GridPntScleFact(B190,C190,A190)</f>
        <v>1.0000342585827966</v>
      </c>
      <c r="I190" s="5" t="str">
        <f>[1]!datumlat(D190,E190,F190,A190)</f>
        <v>-33 40 52.2872</v>
      </c>
      <c r="J190" s="5" t="str">
        <f>[1]!datumlong(D190,E190,F190,A190)</f>
        <v>116  9 32.39975</v>
      </c>
      <c r="K190" s="10">
        <f>[1]!DatumPntScle(D190,E190,F190,A190)</f>
        <v>1.0000342585827966</v>
      </c>
      <c r="L190" s="11" t="str">
        <f>[1]!DatumGridConv(D190,E190,F190,A190)</f>
        <v>0  0 17.97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0  0 51.36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117  1 36.10672</v>
      </c>
      <c r="K191" s="10">
        <f>[1]!DatumPntScle(D191,E191,F191,A191)</f>
        <v>1.0000413979216325</v>
      </c>
      <c r="L191" s="11" t="str">
        <f>[1]!DatumGridConv(D191,E191,F191,A191)</f>
        <v>0  0 51.36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0  0 27.12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0  0 27.12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0  1  9.79</v>
      </c>
      <c r="H193" s="9">
        <f>[1]!GridPntScleFact(B193,C193,A193)</f>
        <v>1.0000431967115446</v>
      </c>
      <c r="I193" s="5" t="str">
        <f>[1]!datumlat(D193,E193,F193,A193)</f>
        <v>-32  3  5.21996</v>
      </c>
      <c r="J193" s="5" t="str">
        <f>[1]!datumlong(D193,E193,F193,A193)</f>
        <v>122  9 11.50358</v>
      </c>
      <c r="K193" s="10">
        <f>[1]!DatumPntScle(D193,E193,F193,A193)</f>
        <v>1.0000431967115446</v>
      </c>
      <c r="L193" s="11" t="str">
        <f>[1]!DatumGridConv(D193,E193,F193,A193)</f>
        <v>0  1  9.79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0  0 28.98</v>
      </c>
      <c r="H194" s="9">
        <f>[1]!GridPntScleFact(B194,C194,A194)</f>
        <v>1.0000623773037562</v>
      </c>
      <c r="I194" s="5" t="str">
        <f>[1]!datumlat(D194,E194,F194,A194)</f>
        <v>-31  4 49.68275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0  0 28.98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0  0 29.41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122 30  8.79757</v>
      </c>
      <c r="K195" s="10">
        <f>[1]!DatumPntScle(D195,E195,F195,A195)</f>
        <v>1.000026515191053</v>
      </c>
      <c r="L195" s="11" t="str">
        <f>[1]!DatumGridConv(D195,E195,F195,A195)</f>
        <v>0  0 29.41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0  0 22.94</v>
      </c>
      <c r="H196" s="9">
        <f>[1]!GridPntScleFact(B196,C196,A196)</f>
        <v>1.0000704318680236</v>
      </c>
      <c r="I196" s="5" t="str">
        <f>[1]!datumlat(D196,E196,F196,A196)</f>
        <v>-28  3 57.59042</v>
      </c>
      <c r="J196" s="5" t="str">
        <f>[1]!datumlong(D196,E196,F196,A196)</f>
        <v>118 24  4.7556</v>
      </c>
      <c r="K196" s="10">
        <f>[1]!DatumPntScle(D196,E196,F196,A196)</f>
        <v>1.0000704318680236</v>
      </c>
      <c r="L196" s="11" t="str">
        <f>[1]!DatumGridConv(D196,E196,F196,A196)</f>
        <v>0  0 22.94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0  1 23.28</v>
      </c>
      <c r="H197" s="9">
        <f>[1]!GridPntScleFact(B197,C197,A197)</f>
        <v>1.0000510467794468</v>
      </c>
      <c r="I197" s="5" t="str">
        <f>[1]!datumlat(D197,E197,F197,A197)</f>
        <v>-22 57 30.5995</v>
      </c>
      <c r="J197" s="5" t="str">
        <f>[1]!datumlong(D197,E197,F197,A197)</f>
        <v>117  3 33.49397</v>
      </c>
      <c r="K197" s="10">
        <f>[1]!DatumPntScle(D197,E197,F197,A197)</f>
        <v>1.0000510467794468</v>
      </c>
      <c r="L197" s="11" t="str">
        <f>[1]!DatumGridConv(D197,E197,F197,A197)</f>
        <v>0  1 23.28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0  1 31.18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0  1 31.18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-0  1 13.42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-0  1 13.42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0  0 24.09</v>
      </c>
      <c r="H200" s="9">
        <f>[1]!GridPntScleFact(B200,C200,A200)</f>
        <v>1.0000350605327812</v>
      </c>
      <c r="I200" s="5" t="str">
        <f>[1]!datumlat(D200,E200,F200,A200)</f>
        <v>-30  1  6.82244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0  0 24.09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0  0  0.08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117 35  0.14104</v>
      </c>
      <c r="K201" s="10">
        <f>[1]!DatumPntScle(D201,E201,F201,A201)</f>
        <v>1.0000407000001676</v>
      </c>
      <c r="L201" s="11" t="str">
        <f>[1]!DatumGridConv(D201,E201,F201,A201)</f>
        <v>0  0  0.08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0  0 49.39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0  0 49.39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0  1 54.84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0  1 54.84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0  1 23.17</v>
      </c>
      <c r="H204" s="9">
        <f>[1]!GridPntScleFact(B204,C204,A204)</f>
        <v>1.0000623277041392</v>
      </c>
      <c r="I204" s="5" t="str">
        <f>[1]!datumlat(D204,E204,F204,A204)</f>
        <v>-27 39  8.43685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0  1 23.17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0  1  1.65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123  9 40.57819</v>
      </c>
      <c r="K205" s="10">
        <f>[1]!DatumPntScle(D205,E205,F205,A205)</f>
        <v>1.0000445956217985</v>
      </c>
      <c r="L205" s="11" t="str">
        <f>[1]!DatumGridConv(D205,E205,F205,A205)</f>
        <v>0  1  1.65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0  2 28.26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0  2 28.26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410413.23015975207</v>
      </c>
      <c r="F207" s="8">
        <f>[1]!gridzone(B207,C207,A207)</f>
        <v>1</v>
      </c>
      <c r="G207" s="8" t="str">
        <f>[1]!GridGridCon(B207,C207,A207)</f>
        <v>0  0  5.37</v>
      </c>
      <c r="H207" s="9">
        <f>[1]!GridPntScleFact(B207,C207,A207)</f>
        <v>1.0000661512137734</v>
      </c>
      <c r="I207" s="5" t="str">
        <f>[1]!datumlat(D207,E207,F207,A207)</f>
        <v>-27 55  5.70299</v>
      </c>
      <c r="J207" s="5" t="str">
        <f>[1]!datumlong(D207,E207,F207,A207)</f>
        <v>120  3 53.47073</v>
      </c>
      <c r="K207" s="10">
        <f>[1]!DatumPntScle(D207,E207,F207,A207)</f>
        <v>1.0000661512137734</v>
      </c>
      <c r="L207" s="11" t="str">
        <f>[1]!DatumGridConv(D207,E207,F207,A207)</f>
        <v>0  0  5.37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0  0  9.98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</v>
      </c>
      <c r="K208" s="10">
        <f>[1]!DatumPntScle(D208,E208,F208,A208)</f>
        <v>1.000003941763896</v>
      </c>
      <c r="L208" s="11" t="str">
        <f>[1]!DatumGridConv(D208,E208,F208,A208)</f>
        <v>0  0  9.98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0  1 43.85</v>
      </c>
      <c r="H209" s="9">
        <f>[1]!GridPntScleFact(B209,C209,A209)</f>
        <v>1.0001004532632949</v>
      </c>
      <c r="I209" s="5" t="str">
        <f>[1]!datumlat(D209,E209,F209,A209)</f>
        <v>-24 52  5.28654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0  1 43.85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0  1 45.84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0  1 45.84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0  1 14.05</v>
      </c>
      <c r="H211" s="9">
        <f>[1]!GridPntScleFact(B211,C211,A211)</f>
        <v>1.0000412729979906</v>
      </c>
      <c r="I211" s="5" t="str">
        <f>[1]!datumlat(D211,E211,F211,A211)</f>
        <v>-30 45  0.87199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0  1 14.05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0  0 18.52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127 49  8.61618</v>
      </c>
      <c r="K212" s="10">
        <f>[1]!DatumPntScle(D212,E212,F212,A212)</f>
        <v>1.0000249216215569</v>
      </c>
      <c r="L212" s="11" t="str">
        <f>[1]!DatumGridConv(D212,E212,F212,A212)</f>
        <v>0  0 18.52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0  3 11.81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0  3 11.81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0  0 23.65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0  0 23.65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0  1  8.36</v>
      </c>
      <c r="H215" s="9">
        <f>[1]!GridPntScleFact(B215,C215,A215)</f>
        <v>1.0000632112201377</v>
      </c>
      <c r="I215" s="5" t="str">
        <f>[1]!datumlat(D215,E215,F215,A215)</f>
        <v>-16  0 39.01802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0  1  8.36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0  1 43.34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0  1 43.34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0  0 58.05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114  3 27.06307</v>
      </c>
      <c r="K217" s="10">
        <f>[1]!DatumPntScle(D217,E217,F217,A217)</f>
        <v>1.0000059057927075</v>
      </c>
      <c r="L217" s="11" t="str">
        <f>[1]!DatumGridConv(D217,E217,F217,A217)</f>
        <v>0  0 58.05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-0  0  2.21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-0  0  2.21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0  1 27.05</v>
      </c>
      <c r="H219" s="9">
        <f>[1]!GridPntScleFact(B219,C219,A219)</f>
        <v>1.0000232907127451</v>
      </c>
      <c r="I219" s="5" t="str">
        <f>[1]!datumlat(D219,E219,F219,A219)</f>
        <v>-18 17  1.83163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0  1 27.05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0  0 26.15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0  0 26.15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0  2  5.06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0  2  5.06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51307.25407703517</v>
      </c>
      <c r="E222" s="4">
        <f>[1]!gridnorthing(B222,C222,A222)</f>
        <v>260868.00580391521</v>
      </c>
      <c r="F222" s="8">
        <f>[1]!gridzone(B222,C222,A222)</f>
        <v>1</v>
      </c>
      <c r="G222" s="8" t="str">
        <f>[1]!GridGridCon(B222,C222,A222)</f>
        <v>0  0 26.36</v>
      </c>
      <c r="H222" s="9">
        <f>[1]!GridPntScleFact(B222,C222,A222)</f>
        <v>1.0000432310653491</v>
      </c>
      <c r="I222" s="5" t="str">
        <f>[1]!datumlat(D222,E222,F222,A222)</f>
        <v>-31 58 26.71194</v>
      </c>
      <c r="J222" s="5" t="str">
        <f>[1]!datumlong(D222,E222,F222,A222)</f>
        <v>122 28 49.78762</v>
      </c>
      <c r="K222" s="10">
        <f>[1]!DatumPntScle(D222,E222,F222,A222)</f>
        <v>1.0000432310653491</v>
      </c>
      <c r="L222" s="11" t="str">
        <f>[1]!DatumGridConv(D222,E222,F222,A222)</f>
        <v>0  0 26.36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0  2 45.35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</v>
      </c>
      <c r="K223" s="10">
        <f>[1]!DatumPntScle(D223,E223,F223,A223)</f>
        <v>1.0000484696678662</v>
      </c>
      <c r="L223" s="11" t="str">
        <f>[1]!DatumGridConv(D223,E223,F223,A223)</f>
        <v>0  2 45.35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-0  0  2.43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-0  0  2.43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0  0  5.74</v>
      </c>
      <c r="H225" s="9">
        <f>[1]!GridPntScleFact(B225,C225,A225)</f>
        <v>1.0000202717772708</v>
      </c>
      <c r="I225" s="5" t="str">
        <f>[1]!datumlat(D225,E225,F225,A225)</f>
        <v>-25  3 56.12306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0  0  5.74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56419.156572387459</v>
      </c>
      <c r="E226" s="4">
        <f>[1]!gridnorthing(B226,C226,A226)</f>
        <v>93559.611879287753</v>
      </c>
      <c r="F226" s="8">
        <f>[1]!gridzone(B226,C226,A226)</f>
        <v>1</v>
      </c>
      <c r="G226" s="8" t="str">
        <f>[1]!GridGridCon(B226,C226,A226)</f>
        <v>0  1  4.38</v>
      </c>
      <c r="H226" s="9">
        <f>[1]!GridPntScleFact(B226,C226,A226)</f>
        <v>1.0000162192580655</v>
      </c>
      <c r="I226" s="5" t="str">
        <f>[1]!datumlat(D226,E226,F226,A226)</f>
        <v>-17 14  9.08052</v>
      </c>
      <c r="J226" s="5" t="str">
        <f>[1]!datumlong(D226,E226,F226,A226)</f>
        <v>124 36 37.28462</v>
      </c>
      <c r="K226" s="10">
        <f>[1]!DatumPntScle(D226,E226,F226,A226)</f>
        <v>1.0000162192580655</v>
      </c>
      <c r="L226" s="11" t="str">
        <f>[1]!DatumGridConv(D226,E226,F226,A226)</f>
        <v>0  1  4.38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0  0 42.12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0  0 42.12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0  0 16.58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0  0 16.58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0  0 54.67</v>
      </c>
      <c r="H229" s="9">
        <f>[1]!GridPntScleFact(B229,C229,A229)</f>
        <v>1.0000044470997294</v>
      </c>
      <c r="I229" s="5" t="str">
        <f>[1]!datumlat(D229,E229,F229,A229)</f>
        <v>-22 26 25.5367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0  0 54.67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0  1  4.19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0  1  4.19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0  0  2.86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128 10  9.85098</v>
      </c>
      <c r="K231" s="10">
        <f>[1]!DatumPntScle(D231,E231,F231,A231)</f>
        <v>1.000047611050505</v>
      </c>
      <c r="L231" s="11" t="str">
        <f>[1]!DatumGridConv(D231,E231,F231,A231)</f>
        <v>0  0  2.86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0  0 35.34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0  0 35.34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0  1 40.73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117  1 56.88671</v>
      </c>
      <c r="K233" s="10">
        <f>[1]!DatumPntScle(D233,E233,F233,A233)</f>
        <v>1.000010149608707</v>
      </c>
      <c r="L233" s="11" t="str">
        <f>[1]!DatumGridConv(D233,E233,F233,A233)</f>
        <v>0  1 40.73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0  0 31.42</v>
      </c>
      <c r="H234" s="9">
        <f>[1]!GridPntScleFact(B234,C234,A234)</f>
        <v>1.0000462273692827</v>
      </c>
      <c r="I234" s="5" t="str">
        <f>[1]!datumlat(D234,E234,F234,A234)</f>
        <v>-33  7 59.43202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0  0 31.42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0  1  3.64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0  1  3.64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0  0  3.53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128  9 56.71447</v>
      </c>
      <c r="K236" s="10">
        <f>[1]!DatumPntScle(D236,E236,F236,A236)</f>
        <v>1.0000124603851652</v>
      </c>
      <c r="L236" s="11" t="str">
        <f>[1]!DatumGridConv(D236,E236,F236,A236)</f>
        <v>0  0  3.53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0  5 48.49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0  5 48.49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0  0 48.26</v>
      </c>
      <c r="H238" s="9">
        <f>[1]!GridPntScleFact(B238,C238,A238)</f>
        <v>1.0000525464429095</v>
      </c>
      <c r="I238" s="5" t="str">
        <f>[1]!datumlat(D238,E238,F238,A238)</f>
        <v>-15 58  1.05442</v>
      </c>
      <c r="J238" s="5" t="str">
        <f>[1]!datumlong(D238,E238,F238,A238)</f>
        <v>127 27  4.43754</v>
      </c>
      <c r="K238" s="10">
        <f>[1]!DatumPntScle(D238,E238,F238,A238)</f>
        <v>1.0000525464429095</v>
      </c>
      <c r="L238" s="11" t="str">
        <f>[1]!DatumGridConv(D238,E238,F238,A238)</f>
        <v>0  0 48.26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0  0 13.3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120  7 23.94361</v>
      </c>
      <c r="K239" s="10">
        <f>[1]!DatumPntScle(D239,E239,F239,A239)</f>
        <v>1.0000086646809772</v>
      </c>
      <c r="L239" s="11" t="str">
        <f>[1]!DatumGridConv(D239,E239,F239,A239)</f>
        <v>0  0 13.3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0  2 45.99</v>
      </c>
      <c r="H240" s="9">
        <f>[1]!GridPntScleFact(B240,C240,A240)</f>
        <v>1.0000355463525685</v>
      </c>
      <c r="I240" s="5" t="str">
        <f>[1]!datumlat(D240,E240,F240,A240)</f>
        <v>-32  6 30.10979</v>
      </c>
      <c r="J240" s="5" t="str">
        <f>[1]!datumlong(D240,E240,F240,A240)</f>
        <v>116 19 12.2925</v>
      </c>
      <c r="K240" s="10">
        <f>[1]!DatumPntScle(D240,E240,F240,A240)</f>
        <v>1.0000355463525683</v>
      </c>
      <c r="L240" s="11" t="str">
        <f>[1]!DatumGridConv(D240,E240,F240,A240)</f>
        <v>0  2 45.99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0  0 52.75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119  1 38.24724</v>
      </c>
      <c r="K241" s="10">
        <f>[1]!DatumPntScle(D241,E241,F241,A241)</f>
        <v>1.0000454211280196</v>
      </c>
      <c r="L241" s="11" t="str">
        <f>[1]!DatumGridConv(D241,E241,F241,A241)</f>
        <v>0  0 52.75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0  0 44.89</v>
      </c>
      <c r="H242" s="9">
        <f>[1]!GridPntScleFact(B242,C242,A242)</f>
        <v>1.0000643128358839</v>
      </c>
      <c r="I242" s="5" t="str">
        <f>[1]!datumlat(D242,E242,F242,A242)</f>
        <v>-17  3 57.63528</v>
      </c>
      <c r="J242" s="5" t="str">
        <f>[1]!datumlong(D242,E242,F242,A242)</f>
        <v>125 28  1.95694</v>
      </c>
      <c r="K242" s="10">
        <f>[1]!DatumPntScle(D242,E242,F242,A242)</f>
        <v>1.0000643128358839</v>
      </c>
      <c r="L242" s="11" t="str">
        <f>[1]!DatumGridConv(D242,E242,F242,A242)</f>
        <v>0  0 44.89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0  0  0.66</v>
      </c>
      <c r="H243" s="9">
        <f>[1]!GridPntScleFact(B243,C243,A243)</f>
        <v>1.000034720011185</v>
      </c>
      <c r="I243" s="5" t="str">
        <f>[1]!datumlat(D243,E243,F243,A243)</f>
        <v>-34  3 20.20446</v>
      </c>
      <c r="J243" s="5" t="str">
        <f>[1]!datumlong(D243,E243,F243,A243)</f>
        <v>118 54  1.17479</v>
      </c>
      <c r="K243" s="10">
        <f>[1]!DatumPntScle(D243,E243,F243,A243)</f>
        <v>1.000034720011185</v>
      </c>
      <c r="L243" s="11" t="str">
        <f>[1]!DatumGridConv(D243,E243,F243,A243)</f>
        <v>0  0  0.66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0  0  3.05</v>
      </c>
      <c r="H244" s="9">
        <f>[1]!GridPntScleFact(B244,C244,A244)</f>
        <v>1.0000130002806946</v>
      </c>
      <c r="I244" s="5" t="str">
        <f>[1]!datumlat(D244,E244,F244,A244)</f>
        <v>-32  1 23.93076</v>
      </c>
      <c r="J244" s="5" t="str">
        <f>[1]!datumlong(D244,E244,F244,A244)</f>
        <v>125 43  5.75036</v>
      </c>
      <c r="K244" s="10">
        <f>[1]!DatumPntScle(D244,E244,F244,A244)</f>
        <v>1.0000130002806946</v>
      </c>
      <c r="L244" s="11" t="str">
        <f>[1]!DatumGridConv(D244,E244,F244,A244)</f>
        <v>0  0  3.05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0  1 50.57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0  1 50.57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0  0 58.76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114 21  7.63726</v>
      </c>
      <c r="K246" s="10">
        <f>[1]!DatumPntScle(D246,E246,F246,A246)</f>
        <v>1.0000201016826098</v>
      </c>
      <c r="L246" s="11" t="str">
        <f>[1]!DatumGridConv(D246,E246,F246,A246)</f>
        <v>0  0 58.76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0  2 29.64</v>
      </c>
      <c r="H247" s="9">
        <f>[1]!GridPntScleFact(B247,C247,A247)</f>
        <v>1.0000851556389501</v>
      </c>
      <c r="I247" s="5" t="str">
        <f>[1]!datumlat(D247,E247,F247,A247)</f>
        <v>-28  0  7.56655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0  2 29.64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0  0 18.03</v>
      </c>
      <c r="H248" s="9">
        <f>[1]!GridPntScleFact(B248,C248,A248)</f>
        <v>1.0001130421130033</v>
      </c>
      <c r="I248" s="5" t="str">
        <f>[1]!datumlat(D248,E248,F248,A248)</f>
        <v>-22 38  6.55505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0  0 18.03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0  1 28.22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0  1 28.22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0  0 48.35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119  1 59.81563</v>
      </c>
      <c r="K250" s="10">
        <f>[1]!DatumPntScle(D250,E250,F250,A250)</f>
        <v>1.0000915902713265</v>
      </c>
      <c r="L250" s="11" t="str">
        <f>[1]!DatumGridConv(D250,E250,F250,A250)</f>
        <v>0  0 48.35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0  0 19.81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117  3 35.57732</v>
      </c>
      <c r="K251" s="10">
        <f>[1]!DatumPntScle(D251,E251,F251,A251)</f>
        <v>1.0000381903135436</v>
      </c>
      <c r="L251" s="11" t="str">
        <f>[1]!DatumGridConv(D251,E251,F251,A251)</f>
        <v>0  0 19.81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0  0 27.92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0  0 27.92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0  0 54.57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0  0 54.57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0  0 42.76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0  0 42.76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51392.374491409028</v>
      </c>
      <c r="E255" s="4">
        <f>[1]!gridnorthing(B255,C255,A255)</f>
        <v>232310.38629334234</v>
      </c>
      <c r="F255" s="8">
        <f>[1]!gridzone(B255,C255,A255)</f>
        <v>1</v>
      </c>
      <c r="G255" s="8" t="str">
        <f>[1]!GridGridCon(B255,C255,A255)</f>
        <v>0  0 29.56</v>
      </c>
      <c r="H255" s="9">
        <f>[1]!GridPntScleFact(B255,C255,A255)</f>
        <v>1.0000427638911604</v>
      </c>
      <c r="I255" s="5" t="str">
        <f>[1]!datumlat(D255,E255,F255,A255)</f>
        <v>-33 18 49.06879</v>
      </c>
      <c r="J255" s="5" t="str">
        <f>[1]!datumlong(D255,E255,F255,A255)</f>
        <v>118 17 53.82593</v>
      </c>
      <c r="K255" s="10">
        <f>[1]!DatumPntScle(D255,E255,F255,A255)</f>
        <v>1.0000427638911604</v>
      </c>
      <c r="L255" s="11" t="str">
        <f>[1]!DatumGridConv(D255,E255,F255,A255)</f>
        <v>0  0 29.56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0  0 35.09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0  0 35.09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0  0 15.49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127 16  0.6011</v>
      </c>
      <c r="K257" s="10">
        <f>[1]!DatumPntScle(D257,E257,F257,A257)</f>
        <v>1.0000583350931582</v>
      </c>
      <c r="L257" s="11" t="str">
        <f>[1]!DatumGridConv(D257,E257,F257,A257)</f>
        <v>0  0 15.49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0  1  5.92</v>
      </c>
      <c r="H258" s="9">
        <f>[1]!GridPntScleFact(B258,C258,A258)</f>
        <v>1.0000650491097662</v>
      </c>
      <c r="I258" s="5" t="str">
        <f>[1]!datumlat(D258,E258,F258,A258)</f>
        <v>-28 51  8.94769</v>
      </c>
      <c r="J258" s="5" t="str">
        <f>[1]!datumlong(D258,E258,F258,A258)</f>
        <v>122  8 16.60085</v>
      </c>
      <c r="K258" s="10">
        <f>[1]!DatumPntScle(D258,E258,F258,A258)</f>
        <v>1.0000650491097662</v>
      </c>
      <c r="L258" s="11" t="str">
        <f>[1]!DatumGridConv(D258,E258,F258,A258)</f>
        <v>0  1  5.92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0  0 48.72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0  0 48.72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0  0 19.08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</v>
      </c>
      <c r="K260" s="10">
        <f>[1]!DatumPntScle(D260,E260,F260,A260)</f>
        <v>1.0000666533495217</v>
      </c>
      <c r="L260" s="11" t="str">
        <f>[1]!DatumGridConv(D260,E260,F260,A260)</f>
        <v>0  0 19.08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0  0 47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123  3 34.81366</v>
      </c>
      <c r="K261" s="10">
        <f>[1]!DatumPntScle(D261,E261,F261,A261)</f>
        <v>1.0000082572757993</v>
      </c>
      <c r="L261" s="11" t="str">
        <f>[1]!DatumGridConv(D261,E261,F261,A261)</f>
        <v>0  0 47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0  0  2.47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0  0  2.47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0  1 43.26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127  5 15.42844</v>
      </c>
      <c r="K263" s="10">
        <f>[1]!DatumPntScle(D263,E263,F263,A263)</f>
        <v>1.0000012951137494</v>
      </c>
      <c r="L263" s="11" t="str">
        <f>[1]!DatumGridConv(D263,E263,F263,A263)</f>
        <v>0  1 43.26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-0  0  5.84</v>
      </c>
      <c r="H264" s="9">
        <f>[1]!GridPntScleFact(B264,C264,A264)</f>
        <v>1.0000496510316397</v>
      </c>
      <c r="I264" s="5" t="str">
        <f>[1]!datumlat(D264,E264,F264,A264)</f>
        <v>-32  1  2.92271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-0  0  5.84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0  0  1.67</v>
      </c>
      <c r="H265" s="9">
        <f>[1]!GridPntScleFact(B265,C265,A265)</f>
        <v>1.000023880227326</v>
      </c>
      <c r="I265" s="5" t="str">
        <f>[1]!datumlat(D265,E265,F265,A265)</f>
        <v>-20 50 53.0282</v>
      </c>
      <c r="J265" s="5" t="str">
        <f>[1]!datumlong(D265,E265,F265,A265)</f>
        <v>119 51  4.69238</v>
      </c>
      <c r="K265" s="10">
        <f>[1]!DatumPntScle(D265,E265,F265,A265)</f>
        <v>1.000023880227326</v>
      </c>
      <c r="L265" s="11" t="str">
        <f>[1]!DatumGridConv(D265,E265,F265,A265)</f>
        <v>0  0  1.67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52057.089861129178</v>
      </c>
      <c r="E266" s="4">
        <f>[1]!gridnorthing(B266,C266,A266)</f>
        <v>208247.74177199835</v>
      </c>
      <c r="F266" s="8">
        <f>[1]!gridzone(B266,C266,A266)</f>
        <v>1</v>
      </c>
      <c r="G266" s="8" t="str">
        <f>[1]!GridGridCon(B266,C266,A266)</f>
        <v>0  0 40.23</v>
      </c>
      <c r="H266" s="9">
        <f>[1]!GridPntScleFact(B266,C266,A266)</f>
        <v>1.0000624321697065</v>
      </c>
      <c r="I266" s="5" t="str">
        <f>[1]!datumlat(D266,E266,F266,A266)</f>
        <v>-31 11  7.66511</v>
      </c>
      <c r="J266" s="5" t="str">
        <f>[1]!datumlong(D266,E266,F266,A266)</f>
        <v>119 37 17.68721</v>
      </c>
      <c r="K266" s="10">
        <f>[1]!DatumPntScle(D266,E266,F266,A266)</f>
        <v>1.0000624321697065</v>
      </c>
      <c r="L266" s="11" t="str">
        <f>[1]!DatumGridConv(D266,E266,F266,A266)</f>
        <v>0  0 40.23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0  0 22.61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124  6 15.05909</v>
      </c>
      <c r="K267" s="10">
        <f>[1]!DatumPntScle(D267,E267,F267,A267)</f>
        <v>1.0000200205714886</v>
      </c>
      <c r="L267" s="11" t="str">
        <f>[1]!DatumGridConv(D267,E267,F267,A267)</f>
        <v>0  0 22.61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0  0 11.13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0  0 11.13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0  1  4.99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121  6 11.47133</v>
      </c>
      <c r="K269" s="10">
        <f>[1]!DatumPntScle(D269,E269,F269,A269)</f>
        <v>1.0000650442913879</v>
      </c>
      <c r="L269" s="11" t="str">
        <f>[1]!DatumGridConv(D269,E269,F269,A269)</f>
        <v>0  1  4.99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0  3 53.95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0  3 53.95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0  1  8.85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117  5 10.2934</v>
      </c>
      <c r="K271" s="10">
        <f>[1]!DatumPntScle(D271,E271,F271,A271)</f>
        <v>1.0000289720304327</v>
      </c>
      <c r="L271" s="11" t="str">
        <f>[1]!DatumGridConv(D271,E271,F271,A271)</f>
        <v>0  1  8.85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0  0 20.42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0  0 20.42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0  0  0.98</v>
      </c>
      <c r="H273" s="9">
        <f>[1]!GridPntScleFact(B273,C273,A273)</f>
        <v>1.0000112800291503</v>
      </c>
      <c r="I273" s="5" t="str">
        <f>[1]!datumlat(D273,E273,F273,A273)</f>
        <v>-31 56  1.43041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0  0  0.98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0  2  0.08</v>
      </c>
      <c r="H274" s="9">
        <f>[1]!GridPntScleFact(B274,C274,A274)</f>
        <v>1.000001611435809</v>
      </c>
      <c r="I274" s="5" t="str">
        <f>[1]!datumlat(D274,E274,F274,A274)</f>
        <v>-34 50 14.5379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0  2  0.08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0  1  3.03</v>
      </c>
      <c r="H275" s="9">
        <f>[1]!GridPntScleFact(B275,C275,A275)</f>
        <v>1.000050213573568</v>
      </c>
      <c r="I275" s="5" t="str">
        <f>[1]!datumlat(D275,E275,F275,A275)</f>
        <v>-16 59  0.09308</v>
      </c>
      <c r="J275" s="5" t="str">
        <f>[1]!datumlong(D275,E275,F275,A275)</f>
        <v>125 12  0.77015</v>
      </c>
      <c r="K275" s="10">
        <f>[1]!DatumPntScle(D275,E275,F275,A275)</f>
        <v>1.000050213573568</v>
      </c>
      <c r="L275" s="11" t="str">
        <f>[1]!DatumGridConv(D275,E275,F275,A275)</f>
        <v>0  1  3.03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0  0 17.52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0  0 17.52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0  0 19.4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0  0 19.4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0  0 46.98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</v>
      </c>
      <c r="K278" s="10">
        <f>[1]!DatumPntScle(D278,E278,F278,A278)</f>
        <v>1.000061161958167</v>
      </c>
      <c r="L278" s="11" t="str">
        <f>[1]!DatumGridConv(D278,E278,F278,A278)</f>
        <v>0  0 46.98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0  0 48.14</v>
      </c>
      <c r="H279" s="9">
        <f>[1]!GridPntScleFact(B279,C279,A279)</f>
        <v>1.0000678039484081</v>
      </c>
      <c r="I279" s="5" t="str">
        <f>[1]!datumlat(D279,E279,F279,A279)</f>
        <v>-27 10  2.83375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0  0 48.14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57858.965417520849</v>
      </c>
      <c r="E280" s="4">
        <f>[1]!gridnorthing(B280,C280,A280)</f>
        <v>218647.81734562712</v>
      </c>
      <c r="F280" s="8">
        <f>[1]!gridzone(B280,C280,A280)</f>
        <v>1</v>
      </c>
      <c r="G280" s="8" t="str">
        <f>[1]!GridGridCon(B280,C280,A280)</f>
        <v>0  2 32.04</v>
      </c>
      <c r="H280" s="9">
        <f>[1]!GridPntScleFact(B280,C280,A280)</f>
        <v>1.0000504115050752</v>
      </c>
      <c r="I280" s="5" t="str">
        <f>[1]!datumlat(D280,E280,F280,A280)</f>
        <v>-30 54 41.95141</v>
      </c>
      <c r="J280" s="5" t="str">
        <f>[1]!datumlong(D280,E280,F280,A280)</f>
        <v>118 21 55.95372</v>
      </c>
      <c r="K280" s="10">
        <f>[1]!DatumPntScle(D280,E280,F280,A280)</f>
        <v>1.0000504115050752</v>
      </c>
      <c r="L280" s="11" t="str">
        <f>[1]!DatumGridConv(D280,E280,F280,A280)</f>
        <v>0  2 32.04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0  0 20.57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0  0 20.57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0  0 37.95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0  0 37.95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-0  0 21.72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-0  0 21.72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0  2 54.21</v>
      </c>
      <c r="H284" s="9">
        <f>[1]!GridPntScleFact(B284,C284,A284)</f>
        <v>1.0000389948324702</v>
      </c>
      <c r="I284" s="5" t="str">
        <f>[1]!datumlat(D284,E284,F284,A284)</f>
        <v>-27  8 19.79272</v>
      </c>
      <c r="J284" s="5" t="str">
        <f>[1]!datumlong(D284,E284,F284,A284)</f>
        <v>116  3 51.92006</v>
      </c>
      <c r="K284" s="10">
        <f>[1]!DatumPntScle(D284,E284,F284,A284)</f>
        <v>1.0000389948324702</v>
      </c>
      <c r="L284" s="11" t="str">
        <f>[1]!DatumGridConv(D284,E284,F284,A284)</f>
        <v>0  2 54.21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0  0  0.85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118 15  6.88054</v>
      </c>
      <c r="K285" s="10">
        <f>[1]!DatumPntScle(D285,E285,F285,A285)</f>
        <v>1.0000670900332376</v>
      </c>
      <c r="L285" s="11" t="str">
        <f>[1]!DatumGridConv(D285,E285,F285,A285)</f>
        <v>0  0  0.85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0  0 48.69</v>
      </c>
      <c r="H286" s="9">
        <f>[1]!GridPntScleFact(B286,C286,A286)</f>
        <v>1.0000080291010121</v>
      </c>
      <c r="I286" s="5" t="str">
        <f>[1]!datumlat(D286,E286,F286,A286)</f>
        <v>-22  8 55.70711</v>
      </c>
      <c r="J286" s="5" t="str">
        <f>[1]!datumlong(D286,E286,F286,A286)</f>
        <v>115 27  9.13716</v>
      </c>
      <c r="K286" s="10">
        <f>[1]!DatumPntScle(D286,E286,F286,A286)</f>
        <v>1.0000080291010121</v>
      </c>
      <c r="L286" s="11" t="str">
        <f>[1]!DatumGridConv(D286,E286,F286,A286)</f>
        <v>0  0 48.69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0  0 22.7</v>
      </c>
      <c r="H287" s="9">
        <f>[1]!GridPntScleFact(B287,C287,A287)</f>
        <v>1.0000264744773975</v>
      </c>
      <c r="I287" s="5" t="str">
        <f>[1]!datumlat(D287,E287,F287,A287)</f>
        <v>-17  5 20.4616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0  0 22.7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0  0 46.91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0  0 46.91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0  2 31.16</v>
      </c>
      <c r="H289" s="9">
        <f>[1]!GridPntScleFact(B289,C289,A289)</f>
        <v>1.0000451056348285</v>
      </c>
      <c r="I289" s="5" t="str">
        <f>[1]!datumlat(D289,E289,F289,A289)</f>
        <v>-33  5  5.63417</v>
      </c>
      <c r="J289" s="5" t="str">
        <f>[1]!datumlong(D289,E289,F289,A289)</f>
        <v>119  7 36.90862</v>
      </c>
      <c r="K289" s="10">
        <f>[1]!DatumPntScle(D289,E289,F289,A289)</f>
        <v>1.0000451056348285</v>
      </c>
      <c r="L289" s="11" t="str">
        <f>[1]!DatumGridConv(D289,E289,F289,A289)</f>
        <v>0  2 31.16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0  0  6.48</v>
      </c>
      <c r="H290" s="9">
        <f>[1]!GridPntScleFact(B290,C290,A290)</f>
        <v>1.0000886225643877</v>
      </c>
      <c r="I290" s="5" t="str">
        <f>[1]!datumlat(D290,E290,F290,A290)</f>
        <v>-23 44  6.57593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0  0  6.48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0  0 35.87</v>
      </c>
      <c r="H291" s="9">
        <f>[1]!GridPntScleFact(B291,C291,A291)</f>
        <v>1.0000613729953436</v>
      </c>
      <c r="I291" s="5" t="str">
        <f>[1]!datumlat(D291,E291,F291,A291)</f>
        <v>-22  1 16.69087</v>
      </c>
      <c r="J291" s="5" t="str">
        <f>[1]!datumlong(D291,E291,F291,A291)</f>
        <v>120  7 35.67594</v>
      </c>
      <c r="K291" s="10">
        <f>[1]!DatumPntScle(D291,E291,F291,A291)</f>
        <v>1.0000613729953438</v>
      </c>
      <c r="L291" s="11" t="str">
        <f>[1]!DatumGridConv(D291,E291,F291,A291)</f>
        <v>0  0 35.87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0  0 19.82</v>
      </c>
      <c r="H292" s="9">
        <f>[1]!GridPntScleFact(B292,C292,A292)</f>
        <v>1.0000372502859283</v>
      </c>
      <c r="I292" s="5" t="str">
        <f>[1]!datumlat(D292,E292,F292,A292)</f>
        <v>-21 23  2.08046</v>
      </c>
      <c r="J292" s="5" t="str">
        <f>[1]!datumlong(D292,E292,F292,A292)</f>
        <v>121  5 40.35804</v>
      </c>
      <c r="K292" s="10">
        <f>[1]!DatumPntScle(D292,E292,F292,A292)</f>
        <v>1.0000372502859283</v>
      </c>
      <c r="L292" s="11" t="str">
        <f>[1]!DatumGridConv(D292,E292,F292,A292)</f>
        <v>0  0 19.82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0  0 30.83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0  0 30.83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0  0 13.74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119 26  7.8868</v>
      </c>
      <c r="K294" s="10">
        <f>[1]!DatumPntScle(D294,E294,F294,A294)</f>
        <v>1.0001095321562632</v>
      </c>
      <c r="L294" s="11" t="str">
        <f>[1]!DatumGridConv(D294,E294,F294,A294)</f>
        <v>0  0 13.74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0  0  1.16</v>
      </c>
      <c r="H295" s="9">
        <f>[1]!GridPntScleFact(B295,C295,A295)</f>
        <v>1.0000083101202148</v>
      </c>
      <c r="I295" s="5" t="str">
        <f>[1]!datumlat(D295,E295,F295,A295)</f>
        <v>-20  2 27.99614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0  0  1.16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0  0 40.43</v>
      </c>
      <c r="H296" s="9">
        <f>[1]!GridPntScleFact(B296,C296,A296)</f>
        <v>1.0000071947039202</v>
      </c>
      <c r="I296" s="5" t="str">
        <f>[1]!datumlat(D296,E296,F296,A296)</f>
        <v>-16 42  6.74165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0  0 40.43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0  3  9.13</v>
      </c>
      <c r="H297" s="9">
        <f>[1]!GridPntScleFact(B297,C297,A297)</f>
        <v>1.0000343576863293</v>
      </c>
      <c r="I297" s="5" t="str">
        <f>[1]!datumlat(D297,E297,F297,A297)</f>
        <v>-34  9 10.79312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0  3  9.13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0  0  2.53</v>
      </c>
      <c r="H298" s="9">
        <f>[1]!GridPntScleFact(B298,C298,A298)</f>
        <v>1.0000432102534436</v>
      </c>
      <c r="I298" s="5" t="str">
        <f>[1]!datumlat(D298,E298,F298,A298)</f>
        <v>-28 38 19.9248</v>
      </c>
      <c r="J298" s="5" t="str">
        <f>[1]!datumlong(D298,E298,F298,A298)</f>
        <v>115 48  5.27742</v>
      </c>
      <c r="K298" s="10">
        <f>[1]!DatumPntScle(D298,E298,F298,A298)</f>
        <v>1.0000432102534436</v>
      </c>
      <c r="L298" s="11" t="str">
        <f>[1]!DatumGridConv(D298,E298,F298,A298)</f>
        <v>0  0  2.53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0  0 23.48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0  0 23.48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0  0 32.02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125  6 44.20357</v>
      </c>
      <c r="K300" s="10">
        <f>[1]!DatumPntScle(D300,E300,F300,A300)</f>
        <v>1.0000288862658684</v>
      </c>
      <c r="L300" s="11" t="str">
        <f>[1]!DatumGridConv(D300,E300,F300,A300)</f>
        <v>0  0 32.02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0  1 13.16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120  4 12.81317</v>
      </c>
      <c r="K301" s="10">
        <f>[1]!DatumPntScle(D301,E301,F301,A301)</f>
        <v>1.0000320450768261</v>
      </c>
      <c r="L301" s="11" t="str">
        <f>[1]!DatumGridConv(D301,E301,F301,A301)</f>
        <v>0  1 13.16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0  0 25.86</v>
      </c>
      <c r="H302" s="9">
        <f>[1]!GridPntScleFact(B302,C302,A302)</f>
        <v>1.0000495318939207</v>
      </c>
      <c r="I302" s="5" t="str">
        <f>[1]!datumlat(D302,E302,F302,A302)</f>
        <v>-21 19  6.28716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0  0 25.86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0  1 11.99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0  1 11.99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0  0 33.9</v>
      </c>
      <c r="H304" s="9">
        <f>[1]!GridPntScleFact(B304,C304,A304)</f>
        <v>1.000027842372496</v>
      </c>
      <c r="I304" s="5" t="str">
        <f>[1]!datumlat(D304,E304,F304,A304)</f>
        <v>-32 55  3.05929</v>
      </c>
      <c r="J304" s="5" t="str">
        <f>[1]!datumlong(D304,E304,F304,A304)</f>
        <v>121 43  2.37299</v>
      </c>
      <c r="K304" s="10">
        <f>[1]!DatumPntScle(D304,E304,F304,A304)</f>
        <v>1.000027842372496</v>
      </c>
      <c r="L304" s="11" t="str">
        <f>[1]!DatumGridConv(D304,E304,F304,A304)</f>
        <v>0  0 33.9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-0  0 14.55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119  2 31.9223</v>
      </c>
      <c r="K305" s="10">
        <f>[1]!DatumPntScle(D305,E305,F305,A305)</f>
        <v>1.0000528068116805</v>
      </c>
      <c r="L305" s="11" t="str">
        <f>[1]!DatumGridConv(D305,E305,F305,A305)</f>
        <v>-0  0 14.55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0  1 48.1</v>
      </c>
      <c r="H306" s="9">
        <f>[1]!GridPntScleFact(B306,C306,A306)</f>
        <v>1.0000080463192775</v>
      </c>
      <c r="I306" s="5" t="str">
        <f>[1]!datumlat(D306,E306,F306,A306)</f>
        <v>-34 45 56.525</v>
      </c>
      <c r="J306" s="5" t="str">
        <f>[1]!datumlong(D306,E306,F306,A306)</f>
        <v>116 30  9.57265</v>
      </c>
      <c r="K306" s="10">
        <f>[1]!DatumPntScle(D306,E306,F306,A306)</f>
        <v>1.0000080463192775</v>
      </c>
      <c r="L306" s="11" t="str">
        <f>[1]!DatumGridConv(D306,E306,F306,A306)</f>
        <v>0  1 48.1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0  0 54.58</v>
      </c>
      <c r="H307" s="9">
        <f>[1]!GridPntScleFact(B307,C307,A307)</f>
        <v>1.0000110905562551</v>
      </c>
      <c r="I307" s="5" t="str">
        <f>[1]!datumlat(D307,E307,F307,A307)</f>
        <v>-20 33  6.99527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0  0 54.58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0  0 25.43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0  0 25.43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52245.7177356877</v>
      </c>
      <c r="E309" s="4">
        <f>[1]!gridnorthing(B309,C309,A309)</f>
        <v>255768.53211684525</v>
      </c>
      <c r="F309" s="8">
        <f>[1]!gridzone(B309,C309,A309)</f>
        <v>1</v>
      </c>
      <c r="G309" s="8" t="str">
        <f>[1]!GridGridCon(B309,C309,A309)</f>
        <v>0  0 48.28</v>
      </c>
      <c r="H309" s="9">
        <f>[1]!GridPntScleFact(B309,C309,A309)</f>
        <v>1.0000068221469978</v>
      </c>
      <c r="I309" s="5" t="str">
        <f>[1]!datumlat(D309,E309,F309,A309)</f>
        <v>-33 38 39.43259</v>
      </c>
      <c r="J309" s="5" t="str">
        <f>[1]!datumlong(D309,E309,F309,A309)</f>
        <v>121 12 27.14774</v>
      </c>
      <c r="K309" s="10">
        <f>[1]!DatumPntScle(D309,E309,F309,A309)</f>
        <v>1.000006822146998</v>
      </c>
      <c r="L309" s="11" t="str">
        <f>[1]!DatumGridConv(D309,E309,F309,A309)</f>
        <v>0  0 48.28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0  0 52.32</v>
      </c>
      <c r="H310" s="9">
        <f>[1]!GridPntScleFact(B310,C310,A310)</f>
        <v>1.000014675875877</v>
      </c>
      <c r="I310" s="5" t="str">
        <f>[1]!datumlat(D310,E310,F310,A310)</f>
        <v>-21  9 57.78875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0  0 52.32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0  1 46.91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124  5 38.15232</v>
      </c>
      <c r="K311" s="10">
        <f>[1]!DatumPntScle(D311,E311,F311,A311)</f>
        <v>1.0000616508056197</v>
      </c>
      <c r="L311" s="11" t="str">
        <f>[1]!DatumGridConv(D311,E311,F311,A311)</f>
        <v>0  1 46.91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0  2 46.37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</v>
      </c>
      <c r="K312" s="10">
        <f>[1]!DatumPntScle(D312,E312,F312,A312)</f>
        <v>1.0000514803536724</v>
      </c>
      <c r="L312" s="11" t="str">
        <f>[1]!DatumGridConv(D312,E312,F312,A312)</f>
        <v>0  2 46.37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0  0 37.09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0  0 37.09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0  1 24.66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0  1 24.66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0  1 19.49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0  1 19.49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0  2 23.71</v>
      </c>
      <c r="H316" s="9">
        <f>[1]!GridPntScleFact(B316,C316,A316)</f>
        <v>1.0000161651933355</v>
      </c>
      <c r="I316" s="5" t="str">
        <f>[1]!datumlat(D316,E316,F316,A316)</f>
        <v>-32 11 47.9981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0  2 23.71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0  1 55.35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0  1 55.35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0  0  2.03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0  0  2.03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0  0 23.97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0  0 23.97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0  2 11.23</v>
      </c>
      <c r="H320" s="9">
        <f>[1]!GridPntScleFact(B320,C320,A320)</f>
        <v>1.000082206026365</v>
      </c>
      <c r="I320" s="5" t="str">
        <f>[1]!datumlat(D320,E320,F320,A320)</f>
        <v>-25 44  3.70774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0  2 11.23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0  1 45.33</v>
      </c>
      <c r="H321" s="9">
        <f>[1]!GridPntScleFact(B321,C321,A321)</f>
        <v>1.0000938354670339</v>
      </c>
      <c r="I321" s="5" t="str">
        <f>[1]!datumlat(D321,E321,F321,A321)</f>
        <v>-24 57 15.2455</v>
      </c>
      <c r="J321" s="5" t="str">
        <f>[1]!datumlong(D321,E321,F321,A321)</f>
        <v>128 41 56.648</v>
      </c>
      <c r="K321" s="10">
        <f>[1]!DatumPntScle(D321,E321,F321,A321)</f>
        <v>1.0000938354670339</v>
      </c>
      <c r="L321" s="11" t="str">
        <f>[1]!DatumGridConv(D321,E321,F321,A321)</f>
        <v>0  1 45.33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0  1 58.45</v>
      </c>
      <c r="H322" s="9">
        <f>[1]!GridPntScleFact(B322,C322,A322)</f>
        <v>1.0000837613967601</v>
      </c>
      <c r="I322" s="5" t="str">
        <f>[1]!datumlat(D322,E322,F322,A322)</f>
        <v>-26  5 27.00877</v>
      </c>
      <c r="J322" s="5" t="str">
        <f>[1]!datumlong(D322,E322,F322,A322)</f>
        <v>126 48  6.33002</v>
      </c>
      <c r="K322" s="10">
        <f>[1]!DatumPntScle(D322,E322,F322,A322)</f>
        <v>1.0000837613967599</v>
      </c>
      <c r="L322" s="11" t="str">
        <f>[1]!DatumGridConv(D322,E322,F322,A322)</f>
        <v>0  1 58.45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0  0  0.42</v>
      </c>
      <c r="H323" s="9">
        <f>[1]!GridPntScleFact(B323,C323,A323)</f>
        <v>1.0000205800062933</v>
      </c>
      <c r="I323" s="5" t="str">
        <f>[1]!datumlat(D323,E323,F323,A323)</f>
        <v>-30  1 56.5352</v>
      </c>
      <c r="J323" s="5" t="str">
        <f>[1]!datumlong(D323,E323,F323,A323)</f>
        <v>115 19  0.84313</v>
      </c>
      <c r="K323" s="10">
        <f>[1]!DatumPntScle(D323,E323,F323,A323)</f>
        <v>1.0000205800062933</v>
      </c>
      <c r="L323" s="11" t="str">
        <f>[1]!DatumGridConv(D323,E323,F323,A323)</f>
        <v>0  0  0.42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51525.841601979118</v>
      </c>
      <c r="E324" s="4">
        <f>[1]!gridnorthing(B324,C324,A324)</f>
        <v>243141.60871081473</v>
      </c>
      <c r="F324" s="8">
        <f>[1]!gridzone(B324,C324,A324)</f>
        <v>1</v>
      </c>
      <c r="G324" s="8" t="str">
        <f>[1]!GridGridCon(B324,C324,A324)</f>
        <v>0  0 18.7</v>
      </c>
      <c r="H324" s="9">
        <f>[1]!GridPntScleFact(B324,C324,A324)</f>
        <v>1.0000169987594065</v>
      </c>
      <c r="I324" s="5" t="str">
        <f>[1]!datumlat(D324,E324,F324,A324)</f>
        <v>-20 45 46.21626</v>
      </c>
      <c r="J324" s="5" t="str">
        <f>[1]!datumlong(D324,E324,F324,A324)</f>
        <v>119 39 52.74886</v>
      </c>
      <c r="K324" s="10">
        <f>[1]!DatumPntScle(D324,E324,F324,A324)</f>
        <v>1.0000169987594065</v>
      </c>
      <c r="L324" s="11" t="str">
        <f>[1]!DatumGridConv(D324,E324,F324,A324)</f>
        <v>0  0 18.7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0  1 29.41</v>
      </c>
      <c r="H325" s="9">
        <f>[1]!GridPntScleFact(B325,C325,A325)</f>
        <v>1.00006634517642</v>
      </c>
      <c r="I325" s="5" t="str">
        <f>[1]!datumlat(D325,E325,F325,A325)</f>
        <v>-28 19 14.5754</v>
      </c>
      <c r="J325" s="5" t="str">
        <f>[1]!datumlong(D325,E325,F325,A325)</f>
        <v>121  3  8.46058</v>
      </c>
      <c r="K325" s="10">
        <f>[1]!DatumPntScle(D325,E325,F325,A325)</f>
        <v>1.0000663451764198</v>
      </c>
      <c r="L325" s="11" t="str">
        <f>[1]!DatumGridConv(D325,E325,F325,A325)</f>
        <v>0  1 29.41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0  0 36.59</v>
      </c>
      <c r="H326" s="9">
        <f>[1]!GridPntScleFact(B326,C326,A326)</f>
        <v>1.0001037589436921</v>
      </c>
      <c r="I326" s="5" t="str">
        <f>[1]!datumlat(D326,E326,F326,A326)</f>
        <v>-22 52  7.21963</v>
      </c>
      <c r="J326" s="5" t="str">
        <f>[1]!datumlong(D326,E326,F326,A326)</f>
        <v>119  2 29.14321</v>
      </c>
      <c r="K326" s="10">
        <f>[1]!DatumPntScle(D326,E326,F326,A326)</f>
        <v>1.0001037589436921</v>
      </c>
      <c r="L326" s="11" t="str">
        <f>[1]!DatumGridConv(D326,E326,F326,A326)</f>
        <v>0  0 36.59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0  0 13.95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0  0 13.95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0  0 10.67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0  0 10.67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0  0 45.74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117 36  8.42033</v>
      </c>
      <c r="K329" s="10">
        <f>[1]!DatumPntScle(D329,E329,F329,A329)</f>
        <v>1.0000017402227979</v>
      </c>
      <c r="L329" s="11" t="str">
        <f>[1]!DatumGridConv(D329,E329,F329,A329)</f>
        <v>0  0 45.74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0  0 15.3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0  0 15.3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0  0 29.33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120 13  5.37082</v>
      </c>
      <c r="K331" s="10">
        <f>[1]!DatumPntScle(D331,E331,F331,A331)</f>
        <v>1.0000766203304201</v>
      </c>
      <c r="L331" s="11" t="str">
        <f>[1]!DatumGridConv(D331,E331,F331,A331)</f>
        <v>0  0 29.33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0  1 22.53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118  7 38.35196</v>
      </c>
      <c r="K332" s="10">
        <f>[1]!DatumPntScle(D332,E332,F332,A332)</f>
        <v>1.000082663092783</v>
      </c>
      <c r="L332" s="11" t="str">
        <f>[1]!DatumGridConv(D332,E332,F332,A332)</f>
        <v>0  1 22.53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0  0  6.56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0  0  6.56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0  2 17.2</v>
      </c>
      <c r="H334" s="9">
        <f>[1]!GridPntScleFact(B334,C334,A334)</f>
        <v>1.0000173647190123</v>
      </c>
      <c r="I334" s="5" t="str">
        <f>[1]!datumlat(D334,E334,F334,A334)</f>
        <v>-32 20  7.15646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0  2 17.2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0  0  7.15</v>
      </c>
      <c r="H335" s="9">
        <f>[1]!GridPntScleFact(B335,C335,A335)</f>
        <v>1.0000457218063061</v>
      </c>
      <c r="I335" s="5" t="str">
        <f>[1]!datumlat(D335,E335,F335,A335)</f>
        <v>-30  1  9.5057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0  0  7.15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0  0 39.63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0  0 39.63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-0  0 25.13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-0  0 25.13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0  0 36.13</v>
      </c>
      <c r="H338" s="9">
        <f>[1]!GridPntScleFact(B338,C338,A338)</f>
        <v>1.0000474424625143</v>
      </c>
      <c r="I338" s="5" t="str">
        <f>[1]!datumlat(D338,E338,F338,A338)</f>
        <v>-28 28  5.9394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0  0 36.13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0  0  7.28</v>
      </c>
      <c r="H339" s="9">
        <f>[1]!GridPntScleFact(B339,C339,A339)</f>
        <v>1.0000140035501295</v>
      </c>
      <c r="I339" s="5" t="str">
        <f>[1]!datumlat(D339,E339,F339,A339)</f>
        <v>-22 47  1.78195</v>
      </c>
      <c r="J339" s="5" t="str">
        <f>[1]!datumlong(D339,E339,F339,A339)</f>
        <v>115  5 18.79753</v>
      </c>
      <c r="K339" s="10">
        <f>[1]!DatumPntScle(D339,E339,F339,A339)</f>
        <v>1.0000140035501295</v>
      </c>
      <c r="L339" s="11" t="str">
        <f>[1]!DatumGridConv(D339,E339,F339,A339)</f>
        <v>0  0  7.28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0  0 28.78</v>
      </c>
      <c r="H340" s="9">
        <f>[1]!GridPntScleFact(B340,C340,A340)</f>
        <v>1.0000060106733057</v>
      </c>
      <c r="I340" s="5" t="str">
        <f>[1]!datumlat(D340,E340,F340,A340)</f>
        <v>-26  7 49.91797</v>
      </c>
      <c r="J340" s="5" t="str">
        <f>[1]!datumlong(D340,E340,F340,A340)</f>
        <v>114 23  5.3493</v>
      </c>
      <c r="K340" s="10">
        <f>[1]!DatumPntScle(D340,E340,F340,A340)</f>
        <v>1.0000060106733055</v>
      </c>
      <c r="L340" s="11" t="str">
        <f>[1]!DatumGridConv(D340,E340,F340,A340)</f>
        <v>0  0 28.78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0  1 51.67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0  1 51.67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0  1  2.66</v>
      </c>
      <c r="H342" s="9">
        <f>[1]!GridPntScleFact(B342,C342,A342)</f>
        <v>1.0000465496141993</v>
      </c>
      <c r="I342" s="5" t="str">
        <f>[1]!datumlat(D342,E342,F342,A342)</f>
        <v>-21 49  5.31199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0  1  2.66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0  0 22.02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0  0 22.02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119  1 32.35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opLeftCell="A4" zoomScale="90" zoomScaleNormal="90" workbookViewId="0">
      <selection activeCell="C11" sqref="C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</v>
      </c>
      <c r="G6" s="3" t="str">
        <f>[1]!lngsevenpara(A6,E6,B6,C6,D6)</f>
        <v>133 53  7.87779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2019-03-27T01:13:50Z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